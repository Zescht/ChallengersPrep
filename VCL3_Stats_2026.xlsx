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View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doubles" sheetId="3" state="visible" r:id="rId3"/>
    <sheet xmlns:r="http://schemas.openxmlformats.org/officeDocument/2006/relationships" name="ecos" sheetId="4" state="visible" r:id="rId4"/>
    <sheet xmlns:r="http://schemas.openxmlformats.org/officeDocument/2006/relationships" name="Antieco" sheetId="5" state="visible" r:id="rId5"/>
    <sheet xmlns:r="http://schemas.openxmlformats.org/officeDocument/2006/relationships" name="Gun v Gun" sheetId="6" state="visible" r:id="rId6"/>
    <sheet xmlns:r="http://schemas.openxmlformats.org/officeDocument/2006/relationships" name="XvY" sheetId="7" state="visible" r:id="rId7"/>
    <sheet xmlns:r="http://schemas.openxmlformats.org/officeDocument/2006/relationships" name="Post Plants" sheetId="8" state="visible" r:id="rId8"/>
    <sheet xmlns:r="http://schemas.openxmlformats.org/officeDocument/2006/relationships" name="Player Stats" sheetId="9" state="visible" r:id="rId9"/>
    <sheet xmlns:r="http://schemas.openxmlformats.org/officeDocument/2006/relationships" name="Kills" sheetId="10" state="visible" r:id="rId10"/>
    <sheet xmlns:r="http://schemas.openxmlformats.org/officeDocument/2006/relationships" name="Deaths" sheetId="11" state="visible" r:id="rId11"/>
    <sheet xmlns:r="http://schemas.openxmlformats.org/officeDocument/2006/relationships" name="Assists" sheetId="12" state="visible" r:id="rId12"/>
    <sheet xmlns:r="http://schemas.openxmlformats.org/officeDocument/2006/relationships" name="ACS" sheetId="13" state="visible" r:id="rId13"/>
    <sheet xmlns:r="http://schemas.openxmlformats.org/officeDocument/2006/relationships" name="FKS" sheetId="14" state="visible" r:id="rId14"/>
    <sheet xmlns:r="http://schemas.openxmlformats.org/officeDocument/2006/relationships" name="FDS" sheetId="15" state="visible" r:id="rId15"/>
    <sheet xmlns:r="http://schemas.openxmlformats.org/officeDocument/2006/relationships" name="Clutches" sheetId="16" state="visible" r:id="rId16"/>
    <sheet xmlns:r="http://schemas.openxmlformats.org/officeDocument/2006/relationships" name="Picks" sheetId="17" state="visible" r:id="rId17"/>
    <sheet xmlns:r="http://schemas.openxmlformats.org/officeDocument/2006/relationships" name="Post Rank General" sheetId="18" state="visible" r:id="rId18"/>
    <sheet xmlns:r="http://schemas.openxmlformats.org/officeDocument/2006/relationships" name="Post Ranking" sheetId="19" state="visible" r:id="rId19"/>
  </sheets>
  <definedNames>
    <definedName name="_xlnm._FilterDatabase" localSheetId="2" hidden="1">'doubles'!$A$1:$S$431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color rgb="00888888"/>
      <sz val="10"/>
    </font>
    <font>
      <name val="Calibri"/>
      <b val="1"/>
      <color rgb="00FFFFFF"/>
      <sz val="14"/>
    </font>
    <font>
      <name val="Calibri"/>
      <color rgb="00AAAAAA"/>
      <sz val="9"/>
    </font>
  </fonts>
  <fills count="6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1a1a2e"/>
      </patternFill>
    </fill>
    <fill>
      <patternFill patternType="solid">
        <fgColor rgb="00162447"/>
      </patternFill>
    </fill>
    <fill>
      <patternFill patternType="solid">
        <fgColor rgb="000f3460"/>
      </patternFill>
    </fill>
  </fills>
  <borders count="6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  <border>
      <left/>
      <right/>
      <top style="thin">
        <color rgb="00333355"/>
      </top>
      <bottom/>
      <diagonal/>
    </border>
    <border>
      <left/>
      <right style="thin">
        <color rgb="00333355"/>
      </right>
      <top style="thin">
        <color rgb="00333355"/>
      </top>
      <bottom/>
      <diagonal/>
    </border>
    <border>
      <left/>
      <right/>
      <top style="thin">
        <color rgb="00333355"/>
      </top>
      <bottom style="thin">
        <color rgb="00333355"/>
      </bottom>
      <diagonal/>
    </border>
    <border>
      <left/>
      <right style="thin">
        <color rgb="00333355"/>
      </right>
      <top style="thin">
        <color rgb="00333355"/>
      </top>
      <bottom style="thin">
        <color rgb="00333355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1" fillId="5" borderId="1" pivotButton="0" quotePrefix="0" xfId="0"/>
    <xf numFmtId="164" fontId="1" fillId="5" borderId="1" applyAlignment="1" pivotButton="0" quotePrefix="0" xfId="0">
      <alignment horizontal="center" vertical="center"/>
    </xf>
    <xf numFmtId="2" fontId="1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5" fillId="3" borderId="1" pivotButton="0" quotePrefix="0" xfId="0"/>
    <xf numFmtId="9" fontId="2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5" fillId="4" borderId="1" pivotButton="0" quotePrefix="0" xfId="0"/>
    <xf numFmtId="9" fontId="2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AQ49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4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>
      <c r="A2" s="1" t="n"/>
      <c r="B2" s="1" t="n"/>
      <c r="C2" s="2" t="inlineStr">
        <is>
          <t>Team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" t="n"/>
      <c r="B3" s="1" t="n"/>
      <c r="C3" s="3" t="inlineStr">
        <is>
          <t>FOKUS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</row>
    <row r="5">
      <c r="A5" s="1" t="n"/>
      <c r="B5" s="1" t="n"/>
      <c r="C5" s="4" t="inlineStr">
        <is>
          <t>Team Statistics</t>
        </is>
      </c>
      <c r="I5" s="4" t="inlineStr"/>
      <c r="J5" s="4" t="inlineStr">
        <is>
          <t>All Rounds</t>
        </is>
      </c>
      <c r="M5" s="4" t="inlineStr">
        <is>
          <t>Pistols</t>
        </is>
      </c>
      <c r="P5" s="4" t="inlineStr">
        <is>
          <t>Gun</t>
        </is>
      </c>
      <c r="S5" s="4" t="inlineStr">
        <is>
          <t>Anti Eco</t>
        </is>
      </c>
      <c r="V5" s="4" t="inlineStr">
        <is>
          <t>Eco</t>
        </is>
      </c>
      <c r="Y5" s="1" t="n"/>
      <c r="Z5" s="1" t="n"/>
      <c r="AA5" s="1" t="n"/>
      <c r="AB5" s="1" t="n"/>
      <c r="AC5" s="4" t="inlineStr">
        <is>
          <t>Post Plant</t>
        </is>
      </c>
      <c r="AD5" s="5" t="n"/>
      <c r="AE5" s="5" t="n"/>
      <c r="AF5" s="5" t="n"/>
      <c r="AG5" s="5" t="n"/>
      <c r="AH5" s="6" t="n"/>
      <c r="AI5" s="4" t="inlineStr">
        <is>
          <t>Retake</t>
        </is>
      </c>
      <c r="AJ5" s="5" t="n"/>
      <c r="AK5" s="5" t="n"/>
      <c r="AL5" s="5" t="n"/>
      <c r="AM5" s="6" t="n"/>
      <c r="AN5" s="1" t="n"/>
      <c r="AO5" s="1" t="n"/>
      <c r="AP5" s="1" t="n"/>
      <c r="AQ5" s="1" t="n"/>
    </row>
    <row r="6">
      <c r="A6" s="1" t="n"/>
      <c r="B6" s="1" t="n"/>
      <c r="C6" s="7" t="inlineStr">
        <is>
          <t>Maps</t>
        </is>
      </c>
      <c r="D6" s="7" t="inlineStr">
        <is>
          <t>Comp</t>
        </is>
      </c>
      <c r="E6" s="1" t="n"/>
      <c r="F6" s="1" t="n"/>
      <c r="G6" s="1" t="n"/>
      <c r="H6" s="1" t="n"/>
      <c r="I6" s="7" t="inlineStr">
        <is>
          <t>x</t>
        </is>
      </c>
      <c r="J6" s="7" t="inlineStr">
        <is>
          <t>Plays</t>
        </is>
      </c>
      <c r="K6" s="7" t="inlineStr">
        <is>
          <t>Win</t>
        </is>
      </c>
      <c r="L6" s="7" t="inlineStr">
        <is>
          <t>Loss</t>
        </is>
      </c>
      <c r="M6" s="7" t="inlineStr">
        <is>
          <t>rW%</t>
        </is>
      </c>
      <c r="N6" s="7" t="inlineStr">
        <is>
          <t>aW%</t>
        </is>
      </c>
      <c r="O6" s="7" t="inlineStr">
        <is>
          <t>dW%</t>
        </is>
      </c>
      <c r="P6" s="7" t="inlineStr">
        <is>
          <t>rW%</t>
        </is>
      </c>
      <c r="Q6" s="7" t="inlineStr">
        <is>
          <t>aW%</t>
        </is>
      </c>
      <c r="R6" s="7" t="inlineStr">
        <is>
          <t>dW%</t>
        </is>
      </c>
      <c r="S6" s="7" t="inlineStr">
        <is>
          <t>rW%</t>
        </is>
      </c>
      <c r="T6" s="7" t="inlineStr">
        <is>
          <t>aW%</t>
        </is>
      </c>
      <c r="U6" s="7" t="inlineStr">
        <is>
          <t>dW%</t>
        </is>
      </c>
      <c r="V6" s="7" t="inlineStr">
        <is>
          <t>rW%</t>
        </is>
      </c>
      <c r="W6" s="7" t="inlineStr">
        <is>
          <t>aW%</t>
        </is>
      </c>
      <c r="X6" s="7" t="inlineStr">
        <is>
          <t>dW%</t>
        </is>
      </c>
      <c r="Y6" s="1" t="n"/>
      <c r="Z6" s="1" t="n"/>
      <c r="AA6" s="1" t="n"/>
      <c r="AB6" s="1" t="n"/>
      <c r="AC6" s="7" t="inlineStr">
        <is>
          <t>Map</t>
        </is>
      </c>
      <c r="AD6" s="7" t="inlineStr">
        <is>
          <t>post
scens</t>
        </is>
      </c>
      <c r="AE6" s="7" t="inlineStr">
        <is>
          <t>t
rounds</t>
        </is>
      </c>
      <c r="AF6" s="7" t="inlineStr">
        <is>
          <t>post
/Map</t>
        </is>
      </c>
      <c r="AG6" s="7" t="inlineStr">
        <is>
          <t>post
rW%</t>
        </is>
      </c>
      <c r="AH6" s="7" t="inlineStr">
        <is>
          <t>rank</t>
        </is>
      </c>
      <c r="AI6" s="7" t="inlineStr">
        <is>
          <t>ret.
scens</t>
        </is>
      </c>
      <c r="AJ6" s="7" t="inlineStr">
        <is>
          <t>ct
rounds</t>
        </is>
      </c>
      <c r="AK6" s="7" t="inlineStr">
        <is>
          <t>ret.
/Map</t>
        </is>
      </c>
      <c r="AL6" s="7" t="inlineStr">
        <is>
          <t>ret.
rW%</t>
        </is>
      </c>
      <c r="AM6" s="7" t="inlineStr">
        <is>
          <t>rank</t>
        </is>
      </c>
      <c r="AN6" s="1" t="n"/>
      <c r="AO6" s="1" t="n"/>
      <c r="AP6" s="1" t="n"/>
      <c r="AQ6" s="1" t="n"/>
    </row>
    <row r="7">
      <c r="A7" s="1" t="n"/>
      <c r="B7" s="1" t="n"/>
      <c r="C7" s="8" t="inlineStr">
        <is>
          <t>Abyss</t>
        </is>
      </c>
      <c r="D7" s="8">
        <f>IFERROR(INDEX(doubles!$E$2:$E$431,MATCH(C7&amp;"_"&amp;$C$3,doubles!$S$2:$S$431&amp;"_"&amp;doubles!$C$2:$C$431,0)),"")</f>
        <v/>
      </c>
      <c r="E7" s="5" t="n"/>
      <c r="F7" s="5" t="n"/>
      <c r="G7" s="5" t="n"/>
      <c r="H7" s="6" t="n"/>
      <c r="I7" s="9">
        <f>IFERROR(COUNTIFS(doubles!$C$2:$C$431,$C$3,doubles!$B$2:$B$431,C7,doubles!$E$2:$E$431,D7),"")</f>
        <v/>
      </c>
      <c r="J7" s="9">
        <f>COUNTIFS(doubles!$C$2:$C$431,$C$3,doubles!$B$2:$B$431,C7)</f>
        <v/>
      </c>
      <c r="K7" s="9">
        <f>COUNTIFS(doubles!$C$2:$C$431,$C$3,doubles!$B$2:$B$431,C7,doubles!$R$2:$R$431,$C$3)</f>
        <v/>
      </c>
      <c r="L7" s="9">
        <f>J7-K7</f>
        <v/>
      </c>
      <c r="M7" s="10">
        <f>IFERROR((SUMIFS(doubles!$M$2:$M$431,doubles!$C$2:$C$431,$C$3,doubles!$B$2:$B$431,C7)+SUMIFS(doubles!$O$2:$O$431,doubles!$C$2:$C$431,$C$3,doubles!$B$2:$B$431,C7))/(SUMIFS(doubles!$M$2:$M$431,doubles!$C$2:$C$431,$C$3,doubles!$B$2:$B$431,C7)+SUMIFS(doubles!$N$2:$N$431,doubles!$C$2:$C$431,$C$3,doubles!$B$2:$B$431,C7)+SUMIFS(doubles!$O$2:$O$431,doubles!$C$2:$C$431,$C$3,doubles!$B$2:$B$431,C7)+SUMIFS(doubles!$P$2:$P$431,doubles!$C$2:$C$431,$C$3,doubles!$B$2:$B$431,C7)),"")</f>
        <v/>
      </c>
      <c r="N7" s="10">
        <f>IFERROR(SUMIFS(doubles!$M$2:$M$431,doubles!$C$2:$C$431,$C$3,doubles!$B$2:$B$431,C7)/(SUMIFS(doubles!$M$2:$M$431,doubles!$C$2:$C$431,$C$3,doubles!$B$2:$B$431,C7)+SUMIFS(doubles!$N$2:$N$431,doubles!$C$2:$C$431,$C$3,doubles!$B$2:$B$431,C7)),"")</f>
        <v/>
      </c>
      <c r="O7" s="10">
        <f>IFERROR(SUMIFS(doubles!$O$2:$O$431,doubles!$C$2:$C$431,$C$3,doubles!$B$2:$B$431,C7)/(SUMIFS(doubles!$O$2:$O$431,doubles!$C$2:$C$431,$C$3,doubles!$B$2:$B$431,C7)+SUMIFS(doubles!$P$2:$P$431,doubles!$C$2:$C$431,$C$3,doubles!$B$2:$B$431,C7)),"")</f>
        <v/>
      </c>
      <c r="P7" s="10">
        <f>IFERROR((SUMIFS(doubles!$K$2:$K$431,doubles!$C$2:$C$431,$C$3,doubles!$B$2:$B$431,C7)+SUMIFS(doubles!$L$2:$L$431,doubles!$C$2:$C$431,$C$3,doubles!$B$2:$B$431,C7))/(2*COUNTIFS(doubles!$C$2:$C$431,$C$3,doubles!$B$2:$B$431,C7)),"")</f>
        <v/>
      </c>
      <c r="Q7" s="10">
        <f>IFERROR(SUMIFS(doubles!$K$2:$K$431,doubles!$C$2:$C$431,$C$3,doubles!$B$2:$B$431,C7)/COUNTIFS(doubles!$C$2:$C$431,$C$3,doubles!$B$2:$B$431,C7),"")</f>
        <v/>
      </c>
      <c r="R7" s="10">
        <f>IFERROR(SUMIFS(doubles!$L$2:$L$431,doubles!$C$2:$C$431,$C$3,doubles!$B$2:$B$431,C7)/COUNTIFS(doubles!$C$2:$C$431,$C$3,doubles!$B$2:$B$431,C7),"")</f>
        <v/>
      </c>
      <c r="S7" s="10">
        <f>IFERROR((SUMIFS('Gun v Gun'!$C$2:$C$500,'Gun v Gun'!$A$2:$A$500,$C$3,'Gun v Gun'!$B$2:$B$500,C7,'Gun v Gun'!$F$2:$F$500,"atk")+SUMIFS('Gun v Gun'!$C$2:$C$500,'Gun v Gun'!$A$2:$A$500,$C$3,'Gun v Gun'!$B$2:$B$500,C7,'Gun v Gun'!$F$2:$F$500,"def"))/(SUMIFS('Gun v Gun'!$C$2:$C$500,'Gun v Gun'!$A$2:$A$500,$C$3,'Gun v Gun'!$B$2:$B$500,C7,'Gun v Gun'!$F$2:$F$500,"atk")+SUMIFS('Gun v Gun'!$D$2:$D$500,'Gun v Gun'!$A$2:$A$500,$C$3,'Gun v Gun'!$B$2:$B$500,C7,'Gun v Gun'!$F$2:$F$500,"atk")+SUMIFS('Gun v Gun'!$C$2:$C$500,'Gun v Gun'!$A$2:$A$500,$C$3,'Gun v Gun'!$B$2:$B$500,C7,'Gun v Gun'!$F$2:$F$500,"def")+SUMIFS('Gun v Gun'!$D$2:$D$500,'Gun v Gun'!$A$2:$A$500,$C$3,'Gun v Gun'!$B$2:$B$500,C7,'Gun v Gun'!$F$2:$F$500,"def")),"")</f>
        <v/>
      </c>
      <c r="T7" s="10">
        <f>IFERROR(SUMIFS('Gun v Gun'!$C$2:$C$500,'Gun v Gun'!$A$2:$A$500,$C$3,'Gun v Gun'!$B$2:$B$500,C7,'Gun v Gun'!$F$2:$F$500,"atk")/(SUMIFS('Gun v Gun'!$C$2:$C$500,'Gun v Gun'!$A$2:$A$500,$C$3,'Gun v Gun'!$B$2:$B$500,C7,'Gun v Gun'!$F$2:$F$500,"atk")+SUMIFS('Gun v Gun'!$D$2:$D$500,'Gun v Gun'!$A$2:$A$500,$C$3,'Gun v Gun'!$B$2:$B$500,C7,'Gun v Gun'!$F$2:$F$500,"atk")),"")</f>
        <v/>
      </c>
      <c r="U7" s="10">
        <f>IFERROR(SUMIFS('Gun v Gun'!$C$2:$C$500,'Gun v Gun'!$A$2:$A$500,$C$3,'Gun v Gun'!$B$2:$B$500,C7,'Gun v Gun'!$F$2:$F$500,"def")/(SUMIFS('Gun v Gun'!$C$2:$C$500,'Gun v Gun'!$A$2:$A$500,$C$3,'Gun v Gun'!$B$2:$B$500,C7,'Gun v Gun'!$F$2:$F$500,"def")+SUMIFS('Gun v Gun'!$D$2:$D$500,'Gun v Gun'!$A$2:$A$500,$C$3,'Gun v Gun'!$B$2:$B$500,C7,'Gun v Gun'!$F$2:$F$500,"def")),"")</f>
        <v/>
      </c>
      <c r="V7" s="10">
        <f>IFERROR((SUMIFS('Antieco'!$C$2:$C$500,'Antieco'!$A$2:$A$500,$C$3,'Antieco'!$B$2:$B$500,C7,'Antieco'!$F$2:$F$500,"atk")+SUMIFS('Antieco'!$C$2:$C$500,'Antieco'!$A$2:$A$500,$C$3,'Antieco'!$B$2:$B$500,C7,'Antieco'!$F$2:$F$500,"def"))/(SUMIFS('Antieco'!$C$2:$C$500,'Antieco'!$A$2:$A$500,$C$3,'Antieco'!$B$2:$B$500,C7,'Antieco'!$F$2:$F$500,"atk")+SUMIFS('Antieco'!$D$2:$D$500,'Antieco'!$A$2:$A$500,$C$3,'Antieco'!$B$2:$B$500,C7,'Antieco'!$F$2:$F$500,"atk")+SUMIFS('Antieco'!$C$2:$C$500,'Antieco'!$A$2:$A$500,$C$3,'Antieco'!$B$2:$B$500,C7,'Antieco'!$F$2:$F$500,"def")+SUMIFS('Antieco'!$D$2:$D$500,'Antieco'!$A$2:$A$500,$C$3,'Antieco'!$B$2:$B$500,C7,'Antieco'!$F$2:$F$500,"def")),"")</f>
        <v/>
      </c>
      <c r="W7" s="10">
        <f>IFERROR(SUMIFS('Antieco'!$C$2:$C$500,'Antieco'!$A$2:$A$500,$C$3,'Antieco'!$B$2:$B$500,C7,'Antieco'!$F$2:$F$500,"atk")/(SUMIFS('Antieco'!$C$2:$C$500,'Antieco'!$A$2:$A$500,$C$3,'Antieco'!$B$2:$B$500,C7,'Antieco'!$F$2:$F$500,"atk")+SUMIFS('Antieco'!$D$2:$D$500,'Antieco'!$A$2:$A$500,$C$3,'Antieco'!$B$2:$B$500,C7,'Antieco'!$F$2:$F$500,"atk")),"")</f>
        <v/>
      </c>
      <c r="X7" s="10">
        <f>IFERROR(SUMIFS('Antieco'!$C$2:$C$500,'Antieco'!$A$2:$A$500,$C$3,'Antieco'!$B$2:$B$500,C7,'Antieco'!$F$2:$F$500,"def")/(SUMIFS('Antieco'!$C$2:$C$500,'Antieco'!$A$2:$A$500,$C$3,'Antieco'!$B$2:$B$500,C7,'Antieco'!$F$2:$F$500,"def")+SUMIFS('Antieco'!$D$2:$D$500,'Antieco'!$A$2:$A$500,$C$3,'Antieco'!$B$2:$B$500,C7,'Antieco'!$F$2:$F$500,"def")),"")</f>
        <v/>
      </c>
      <c r="Y7" s="10">
        <f>IFERROR((SUMIFS('ecos'!$C$2:$C$500,'ecos'!$A$2:$A$500,$C$3,'ecos'!$B$2:$B$500,C7,'ecos'!$F$2:$F$500,"atk")+SUMIFS('ecos'!$C$2:$C$500,'ecos'!$A$2:$A$500,$C$3,'ecos'!$B$2:$B$500,C7,'ecos'!$F$2:$F$500,"def"))/(SUMIFS('ecos'!$C$2:$C$500,'ecos'!$A$2:$A$500,$C$3,'ecos'!$B$2:$B$500,C7,'ecos'!$F$2:$F$500,"atk")+SUMIFS('ecos'!$D$2:$D$500,'ecos'!$A$2:$A$500,$C$3,'ecos'!$B$2:$B$500,C7,'ecos'!$F$2:$F$500,"atk")+SUMIFS('ecos'!$C$2:$C$500,'ecos'!$A$2:$A$500,$C$3,'ecos'!$B$2:$B$500,C7,'ecos'!$F$2:$F$500,"def")+SUMIFS('ecos'!$D$2:$D$500,'ecos'!$A$2:$A$500,$C$3,'ecos'!$B$2:$B$500,C7,'ecos'!$F$2:$F$500,"def")),"")</f>
        <v/>
      </c>
      <c r="Z7" s="10">
        <f>IFERROR(SUMIFS('ecos'!$C$2:$C$500,'ecos'!$A$2:$A$500,$C$3,'ecos'!$B$2:$B$500,C7,'ecos'!$F$2:$F$500,"atk")/(SUMIFS('ecos'!$C$2:$C$500,'ecos'!$A$2:$A$500,$C$3,'ecos'!$B$2:$B$500,C7,'ecos'!$F$2:$F$500,"atk")+SUMIFS('ecos'!$D$2:$D$500,'ecos'!$A$2:$A$500,$C$3,'ecos'!$B$2:$B$500,C7,'ecos'!$F$2:$F$500,"atk")),"")</f>
        <v/>
      </c>
      <c r="AA7" s="10">
        <f>IFERROR(SUMIFS('ecos'!$C$2:$C$500,'ecos'!$A$2:$A$500,$C$3,'ecos'!$B$2:$B$500,C7,'ecos'!$F$2:$F$500,"def")/(SUMIFS('ecos'!$C$2:$C$500,'ecos'!$A$2:$A$500,$C$3,'ecos'!$B$2:$B$500,C7,'ecos'!$F$2:$F$500,"def")+SUMIFS('ecos'!$D$2:$D$500,'ecos'!$A$2:$A$500,$C$3,'ecos'!$B$2:$B$500,C7,'ecos'!$F$2:$F$500,"def")),"")</f>
        <v/>
      </c>
      <c r="AB7" s="1" t="n"/>
      <c r="AC7" s="8" t="inlineStr">
        <is>
          <t>Abyss</t>
        </is>
      </c>
      <c r="AD7" s="9">
        <f>SUMIFS('Post Plants'!$E$2:$E$500,'Post Plants'!$A$2:$A$500,$C$3,'Post Plants'!$B$2:$B$500,C7,'Post Plants'!$D$2:$D$500,"atk")</f>
        <v/>
      </c>
      <c r="AE7" s="9">
        <f>SUMIFS(doubles!$M$2:$M$431,doubles!$C$2:$C$431,$C$3,doubles!$B$2:$B$431,C7)+SUMIFS(doubles!$N$2:$N$431,doubles!$C$2:$C$431,$C$3,doubles!$B$2:$B$431,C7)</f>
        <v/>
      </c>
      <c r="AF7" s="11">
        <f>IFERROR(AD7/J7,"")</f>
        <v/>
      </c>
      <c r="AG7" s="10">
        <f>IFERROR(SUMIFS('Post Plants'!$F$2:$F$500,'Post Plants'!$A$2:$A$500,$C$3,'Post Plants'!$B$2:$B$500,C7,'Post Plants'!$D$2:$D$500,"atk")/SUMIFS('Post Plants'!$E$2:$E$500,'Post Plants'!$A$2:$A$500,$C$3,'Post Plants'!$B$2:$B$500,C7,'Post Plants'!$D$2:$D$500,"atk"),"")</f>
        <v/>
      </c>
      <c r="AH7" s="9" t="inlineStr"/>
      <c r="AI7" s="9">
        <f>SUMIFS('Post Plants'!$E$2:$E$500,'Post Plants'!$A$2:$A$500,$C$3,'Post Plants'!$B$2:$B$500,C7,'Post Plants'!$D$2:$D$500,"def")</f>
        <v/>
      </c>
      <c r="AJ7" s="9">
        <f>SUMIFS(doubles!$O$2:$O$431,doubles!$C$2:$C$431,$C$3,doubles!$B$2:$B$431,C7)+SUMIFS(doubles!$P$2:$P$431,doubles!$C$2:$C$431,$C$3,doubles!$B$2:$B$431,C7)</f>
        <v/>
      </c>
      <c r="AK7" s="11">
        <f>IFERROR(AI7/J7,"")</f>
        <v/>
      </c>
      <c r="AL7" s="10">
        <f>IFERROR(SUMIFS('Post Plants'!$F$2:$F$500,'Post Plants'!$A$2:$A$500,$C$3,'Post Plants'!$B$2:$B$500,C7,'Post Plants'!$D$2:$D$500,"def")/SUMIFS('Post Plants'!$E$2:$E$500,'Post Plants'!$A$2:$A$500,$C$3,'Post Plants'!$B$2:$B$500,C7,'Post Plants'!$D$2:$D$500,"def"),"")</f>
        <v/>
      </c>
      <c r="AM7" s="9" t="inlineStr"/>
      <c r="AN7" s="1" t="n"/>
      <c r="AO7" s="1" t="n"/>
      <c r="AP7" s="1" t="n"/>
      <c r="AQ7" s="1" t="n"/>
    </row>
    <row r="8">
      <c r="A8" s="1" t="n"/>
      <c r="B8" s="1" t="n"/>
      <c r="C8" s="12" t="inlineStr">
        <is>
          <t>Bind</t>
        </is>
      </c>
      <c r="D8" s="12">
        <f>IFERROR(INDEX(doubles!$E$2:$E$431,MATCH(C8&amp;"_"&amp;$C$3,doubles!$S$2:$S$431&amp;"_"&amp;doubles!$C$2:$C$431,0)),"")</f>
        <v/>
      </c>
      <c r="E8" s="5" t="n"/>
      <c r="F8" s="5" t="n"/>
      <c r="G8" s="5" t="n"/>
      <c r="H8" s="6" t="n"/>
      <c r="I8" s="13">
        <f>IFERROR(COUNTIFS(doubles!$C$2:$C$431,$C$3,doubles!$B$2:$B$431,C8,doubles!$E$2:$E$431,D8),"")</f>
        <v/>
      </c>
      <c r="J8" s="13">
        <f>COUNTIFS(doubles!$C$2:$C$431,$C$3,doubles!$B$2:$B$431,C8)</f>
        <v/>
      </c>
      <c r="K8" s="13">
        <f>COUNTIFS(doubles!$C$2:$C$431,$C$3,doubles!$B$2:$B$431,C8,doubles!$R$2:$R$431,$C$3)</f>
        <v/>
      </c>
      <c r="L8" s="13">
        <f>J8-K8</f>
        <v/>
      </c>
      <c r="M8" s="14">
        <f>IFERROR((SUMIFS(doubles!$M$2:$M$431,doubles!$C$2:$C$431,$C$3,doubles!$B$2:$B$431,C8)+SUMIFS(doubles!$O$2:$O$431,doubles!$C$2:$C$431,$C$3,doubles!$B$2:$B$431,C8))/(SUMIFS(doubles!$M$2:$M$431,doubles!$C$2:$C$431,$C$3,doubles!$B$2:$B$431,C8)+SUMIFS(doubles!$N$2:$N$431,doubles!$C$2:$C$431,$C$3,doubles!$B$2:$B$431,C8)+SUMIFS(doubles!$O$2:$O$431,doubles!$C$2:$C$431,$C$3,doubles!$B$2:$B$431,C8)+SUMIFS(doubles!$P$2:$P$431,doubles!$C$2:$C$431,$C$3,doubles!$B$2:$B$431,C8)),"")</f>
        <v/>
      </c>
      <c r="N8" s="14">
        <f>IFERROR(SUMIFS(doubles!$M$2:$M$431,doubles!$C$2:$C$431,$C$3,doubles!$B$2:$B$431,C8)/(SUMIFS(doubles!$M$2:$M$431,doubles!$C$2:$C$431,$C$3,doubles!$B$2:$B$431,C8)+SUMIFS(doubles!$N$2:$N$431,doubles!$C$2:$C$431,$C$3,doubles!$B$2:$B$431,C8)),"")</f>
        <v/>
      </c>
      <c r="O8" s="14">
        <f>IFERROR(SUMIFS(doubles!$O$2:$O$431,doubles!$C$2:$C$431,$C$3,doubles!$B$2:$B$431,C8)/(SUMIFS(doubles!$O$2:$O$431,doubles!$C$2:$C$431,$C$3,doubles!$B$2:$B$431,C8)+SUMIFS(doubles!$P$2:$P$431,doubles!$C$2:$C$431,$C$3,doubles!$B$2:$B$431,C8)),"")</f>
        <v/>
      </c>
      <c r="P8" s="14">
        <f>IFERROR((SUMIFS(doubles!$K$2:$K$431,doubles!$C$2:$C$431,$C$3,doubles!$B$2:$B$431,C8)+SUMIFS(doubles!$L$2:$L$431,doubles!$C$2:$C$431,$C$3,doubles!$B$2:$B$431,C8))/(2*COUNTIFS(doubles!$C$2:$C$431,$C$3,doubles!$B$2:$B$431,C8)),"")</f>
        <v/>
      </c>
      <c r="Q8" s="14">
        <f>IFERROR(SUMIFS(doubles!$K$2:$K$431,doubles!$C$2:$C$431,$C$3,doubles!$B$2:$B$431,C8)/COUNTIFS(doubles!$C$2:$C$431,$C$3,doubles!$B$2:$B$431,C8),"")</f>
        <v/>
      </c>
      <c r="R8" s="14">
        <f>IFERROR(SUMIFS(doubles!$L$2:$L$431,doubles!$C$2:$C$431,$C$3,doubles!$B$2:$B$431,C8)/COUNTIFS(doubles!$C$2:$C$431,$C$3,doubles!$B$2:$B$431,C8),"")</f>
        <v/>
      </c>
      <c r="S8" s="14">
        <f>IFERROR((SUMIFS('Gun v Gun'!$C$2:$C$500,'Gun v Gun'!$A$2:$A$500,$C$3,'Gun v Gun'!$B$2:$B$500,C8,'Gun v Gun'!$F$2:$F$500,"atk")+SUMIFS('Gun v Gun'!$C$2:$C$500,'Gun v Gun'!$A$2:$A$500,$C$3,'Gun v Gun'!$B$2:$B$500,C8,'Gun v Gun'!$F$2:$F$500,"def"))/(SUMIFS('Gun v Gun'!$C$2:$C$500,'Gun v Gun'!$A$2:$A$500,$C$3,'Gun v Gun'!$B$2:$B$500,C8,'Gun v Gun'!$F$2:$F$500,"atk")+SUMIFS('Gun v Gun'!$D$2:$D$500,'Gun v Gun'!$A$2:$A$500,$C$3,'Gun v Gun'!$B$2:$B$500,C8,'Gun v Gun'!$F$2:$F$500,"atk")+SUMIFS('Gun v Gun'!$C$2:$C$500,'Gun v Gun'!$A$2:$A$500,$C$3,'Gun v Gun'!$B$2:$B$500,C8,'Gun v Gun'!$F$2:$F$500,"def")+SUMIFS('Gun v Gun'!$D$2:$D$500,'Gun v Gun'!$A$2:$A$500,$C$3,'Gun v Gun'!$B$2:$B$500,C8,'Gun v Gun'!$F$2:$F$500,"def")),"")</f>
        <v/>
      </c>
      <c r="T8" s="14">
        <f>IFERROR(SUMIFS('Gun v Gun'!$C$2:$C$500,'Gun v Gun'!$A$2:$A$500,$C$3,'Gun v Gun'!$B$2:$B$500,C8,'Gun v Gun'!$F$2:$F$500,"atk")/(SUMIFS('Gun v Gun'!$C$2:$C$500,'Gun v Gun'!$A$2:$A$500,$C$3,'Gun v Gun'!$B$2:$B$500,C8,'Gun v Gun'!$F$2:$F$500,"atk")+SUMIFS('Gun v Gun'!$D$2:$D$500,'Gun v Gun'!$A$2:$A$500,$C$3,'Gun v Gun'!$B$2:$B$500,C8,'Gun v Gun'!$F$2:$F$500,"atk")),"")</f>
        <v/>
      </c>
      <c r="U8" s="14">
        <f>IFERROR(SUMIFS('Gun v Gun'!$C$2:$C$500,'Gun v Gun'!$A$2:$A$500,$C$3,'Gun v Gun'!$B$2:$B$500,C8,'Gun v Gun'!$F$2:$F$500,"def")/(SUMIFS('Gun v Gun'!$C$2:$C$500,'Gun v Gun'!$A$2:$A$500,$C$3,'Gun v Gun'!$B$2:$B$500,C8,'Gun v Gun'!$F$2:$F$500,"def")+SUMIFS('Gun v Gun'!$D$2:$D$500,'Gun v Gun'!$A$2:$A$500,$C$3,'Gun v Gun'!$B$2:$B$500,C8,'Gun v Gun'!$F$2:$F$500,"def")),"")</f>
        <v/>
      </c>
      <c r="V8" s="14">
        <f>IFERROR((SUMIFS('Antieco'!$C$2:$C$500,'Antieco'!$A$2:$A$500,$C$3,'Antieco'!$B$2:$B$500,C8,'Antieco'!$F$2:$F$500,"atk")+SUMIFS('Antieco'!$C$2:$C$500,'Antieco'!$A$2:$A$500,$C$3,'Antieco'!$B$2:$B$500,C8,'Antieco'!$F$2:$F$500,"def"))/(SUMIFS('Antieco'!$C$2:$C$500,'Antieco'!$A$2:$A$500,$C$3,'Antieco'!$B$2:$B$500,C8,'Antieco'!$F$2:$F$500,"atk")+SUMIFS('Antieco'!$D$2:$D$500,'Antieco'!$A$2:$A$500,$C$3,'Antieco'!$B$2:$B$500,C8,'Antieco'!$F$2:$F$500,"atk")+SUMIFS('Antieco'!$C$2:$C$500,'Antieco'!$A$2:$A$500,$C$3,'Antieco'!$B$2:$B$500,C8,'Antieco'!$F$2:$F$500,"def")+SUMIFS('Antieco'!$D$2:$D$500,'Antieco'!$A$2:$A$500,$C$3,'Antieco'!$B$2:$B$500,C8,'Antieco'!$F$2:$F$500,"def")),"")</f>
        <v/>
      </c>
      <c r="W8" s="14">
        <f>IFERROR(SUMIFS('Antieco'!$C$2:$C$500,'Antieco'!$A$2:$A$500,$C$3,'Antieco'!$B$2:$B$500,C8,'Antieco'!$F$2:$F$500,"atk")/(SUMIFS('Antieco'!$C$2:$C$500,'Antieco'!$A$2:$A$500,$C$3,'Antieco'!$B$2:$B$500,C8,'Antieco'!$F$2:$F$500,"atk")+SUMIFS('Antieco'!$D$2:$D$500,'Antieco'!$A$2:$A$500,$C$3,'Antieco'!$B$2:$B$500,C8,'Antieco'!$F$2:$F$500,"atk")),"")</f>
        <v/>
      </c>
      <c r="X8" s="14">
        <f>IFERROR(SUMIFS('Antieco'!$C$2:$C$500,'Antieco'!$A$2:$A$500,$C$3,'Antieco'!$B$2:$B$500,C8,'Antieco'!$F$2:$F$500,"def")/(SUMIFS('Antieco'!$C$2:$C$500,'Antieco'!$A$2:$A$500,$C$3,'Antieco'!$B$2:$B$500,C8,'Antieco'!$F$2:$F$500,"def")+SUMIFS('Antieco'!$D$2:$D$500,'Antieco'!$A$2:$A$500,$C$3,'Antieco'!$B$2:$B$500,C8,'Antieco'!$F$2:$F$500,"def")),"")</f>
        <v/>
      </c>
      <c r="Y8" s="14">
        <f>IFERROR((SUMIFS('ecos'!$C$2:$C$500,'ecos'!$A$2:$A$500,$C$3,'ecos'!$B$2:$B$500,C8,'ecos'!$F$2:$F$500,"atk")+SUMIFS('ecos'!$C$2:$C$500,'ecos'!$A$2:$A$500,$C$3,'ecos'!$B$2:$B$500,C8,'ecos'!$F$2:$F$500,"def"))/(SUMIFS('ecos'!$C$2:$C$500,'ecos'!$A$2:$A$500,$C$3,'ecos'!$B$2:$B$500,C8,'ecos'!$F$2:$F$500,"atk")+SUMIFS('ecos'!$D$2:$D$500,'ecos'!$A$2:$A$500,$C$3,'ecos'!$B$2:$B$500,C8,'ecos'!$F$2:$F$500,"atk")+SUMIFS('ecos'!$C$2:$C$500,'ecos'!$A$2:$A$500,$C$3,'ecos'!$B$2:$B$500,C8,'ecos'!$F$2:$F$500,"def")+SUMIFS('ecos'!$D$2:$D$500,'ecos'!$A$2:$A$500,$C$3,'ecos'!$B$2:$B$500,C8,'ecos'!$F$2:$F$500,"def")),"")</f>
        <v/>
      </c>
      <c r="Z8" s="14">
        <f>IFERROR(SUMIFS('ecos'!$C$2:$C$500,'ecos'!$A$2:$A$500,$C$3,'ecos'!$B$2:$B$500,C8,'ecos'!$F$2:$F$500,"atk")/(SUMIFS('ecos'!$C$2:$C$500,'ecos'!$A$2:$A$500,$C$3,'ecos'!$B$2:$B$500,C8,'ecos'!$F$2:$F$500,"atk")+SUMIFS('ecos'!$D$2:$D$500,'ecos'!$A$2:$A$500,$C$3,'ecos'!$B$2:$B$500,C8,'ecos'!$F$2:$F$500,"atk")),"")</f>
        <v/>
      </c>
      <c r="AA8" s="14">
        <f>IFERROR(SUMIFS('ecos'!$C$2:$C$500,'ecos'!$A$2:$A$500,$C$3,'ecos'!$B$2:$B$500,C8,'ecos'!$F$2:$F$500,"def")/(SUMIFS('ecos'!$C$2:$C$500,'ecos'!$A$2:$A$500,$C$3,'ecos'!$B$2:$B$500,C8,'ecos'!$F$2:$F$500,"def")+SUMIFS('ecos'!$D$2:$D$500,'ecos'!$A$2:$A$500,$C$3,'ecos'!$B$2:$B$500,C8,'ecos'!$F$2:$F$500,"def")),"")</f>
        <v/>
      </c>
      <c r="AB8" s="1" t="n"/>
      <c r="AC8" s="12" t="inlineStr">
        <is>
          <t>Bind</t>
        </is>
      </c>
      <c r="AD8" s="13">
        <f>SUMIFS('Post Plants'!$E$2:$E$500,'Post Plants'!$A$2:$A$500,$C$3,'Post Plants'!$B$2:$B$500,C8,'Post Plants'!$D$2:$D$500,"atk")</f>
        <v/>
      </c>
      <c r="AE8" s="13">
        <f>SUMIFS(doubles!$M$2:$M$431,doubles!$C$2:$C$431,$C$3,doubles!$B$2:$B$431,C8)+SUMIFS(doubles!$N$2:$N$431,doubles!$C$2:$C$431,$C$3,doubles!$B$2:$B$431,C8)</f>
        <v/>
      </c>
      <c r="AF8" s="15">
        <f>IFERROR(AD8/J8,"")</f>
        <v/>
      </c>
      <c r="AG8" s="14">
        <f>IFERROR(SUMIFS('Post Plants'!$F$2:$F$500,'Post Plants'!$A$2:$A$500,$C$3,'Post Plants'!$B$2:$B$500,C8,'Post Plants'!$D$2:$D$500,"atk")/SUMIFS('Post Plants'!$E$2:$E$500,'Post Plants'!$A$2:$A$500,$C$3,'Post Plants'!$B$2:$B$500,C8,'Post Plants'!$D$2:$D$500,"atk"),"")</f>
        <v/>
      </c>
      <c r="AH8" s="13" t="inlineStr"/>
      <c r="AI8" s="13">
        <f>SUMIFS('Post Plants'!$E$2:$E$500,'Post Plants'!$A$2:$A$500,$C$3,'Post Plants'!$B$2:$B$500,C8,'Post Plants'!$D$2:$D$500,"def")</f>
        <v/>
      </c>
      <c r="AJ8" s="13">
        <f>SUMIFS(doubles!$O$2:$O$431,doubles!$C$2:$C$431,$C$3,doubles!$B$2:$B$431,C8)+SUMIFS(doubles!$P$2:$P$431,doubles!$C$2:$C$431,$C$3,doubles!$B$2:$B$431,C8)</f>
        <v/>
      </c>
      <c r="AK8" s="15">
        <f>IFERROR(AI8/J8,"")</f>
        <v/>
      </c>
      <c r="AL8" s="14">
        <f>IFERROR(SUMIFS('Post Plants'!$F$2:$F$500,'Post Plants'!$A$2:$A$500,$C$3,'Post Plants'!$B$2:$B$500,C8,'Post Plants'!$D$2:$D$500,"def")/SUMIFS('Post Plants'!$E$2:$E$500,'Post Plants'!$A$2:$A$500,$C$3,'Post Plants'!$B$2:$B$500,C8,'Post Plants'!$D$2:$D$500,"def"),"")</f>
        <v/>
      </c>
      <c r="AM8" s="13" t="inlineStr"/>
      <c r="AN8" s="1" t="n"/>
      <c r="AO8" s="1" t="n"/>
      <c r="AP8" s="1" t="n"/>
      <c r="AQ8" s="1" t="n"/>
    </row>
    <row r="9">
      <c r="A9" s="1" t="n"/>
      <c r="B9" s="1" t="n"/>
      <c r="C9" s="8" t="inlineStr">
        <is>
          <t>Breeze</t>
        </is>
      </c>
      <c r="D9" s="8">
        <f>IFERROR(INDEX(doubles!$E$2:$E$431,MATCH(C9&amp;"_"&amp;$C$3,doubles!$S$2:$S$431&amp;"_"&amp;doubles!$C$2:$C$431,0)),"")</f>
        <v/>
      </c>
      <c r="E9" s="5" t="n"/>
      <c r="F9" s="5" t="n"/>
      <c r="G9" s="5" t="n"/>
      <c r="H9" s="6" t="n"/>
      <c r="I9" s="9">
        <f>IFERROR(COUNTIFS(doubles!$C$2:$C$431,$C$3,doubles!$B$2:$B$431,C9,doubles!$E$2:$E$431,D9),"")</f>
        <v/>
      </c>
      <c r="J9" s="9">
        <f>COUNTIFS(doubles!$C$2:$C$431,$C$3,doubles!$B$2:$B$431,C9)</f>
        <v/>
      </c>
      <c r="K9" s="9">
        <f>COUNTIFS(doubles!$C$2:$C$431,$C$3,doubles!$B$2:$B$431,C9,doubles!$R$2:$R$431,$C$3)</f>
        <v/>
      </c>
      <c r="L9" s="9">
        <f>J9-K9</f>
        <v/>
      </c>
      <c r="M9" s="10">
        <f>IFERROR((SUMIFS(doubles!$M$2:$M$431,doubles!$C$2:$C$431,$C$3,doubles!$B$2:$B$431,C9)+SUMIFS(doubles!$O$2:$O$431,doubles!$C$2:$C$431,$C$3,doubles!$B$2:$B$431,C9))/(SUMIFS(doubles!$M$2:$M$431,doubles!$C$2:$C$431,$C$3,doubles!$B$2:$B$431,C9)+SUMIFS(doubles!$N$2:$N$431,doubles!$C$2:$C$431,$C$3,doubles!$B$2:$B$431,C9)+SUMIFS(doubles!$O$2:$O$431,doubles!$C$2:$C$431,$C$3,doubles!$B$2:$B$431,C9)+SUMIFS(doubles!$P$2:$P$431,doubles!$C$2:$C$431,$C$3,doubles!$B$2:$B$431,C9)),"")</f>
        <v/>
      </c>
      <c r="N9" s="10">
        <f>IFERROR(SUMIFS(doubles!$M$2:$M$431,doubles!$C$2:$C$431,$C$3,doubles!$B$2:$B$431,C9)/(SUMIFS(doubles!$M$2:$M$431,doubles!$C$2:$C$431,$C$3,doubles!$B$2:$B$431,C9)+SUMIFS(doubles!$N$2:$N$431,doubles!$C$2:$C$431,$C$3,doubles!$B$2:$B$431,C9)),"")</f>
        <v/>
      </c>
      <c r="O9" s="10">
        <f>IFERROR(SUMIFS(doubles!$O$2:$O$431,doubles!$C$2:$C$431,$C$3,doubles!$B$2:$B$431,C9)/(SUMIFS(doubles!$O$2:$O$431,doubles!$C$2:$C$431,$C$3,doubles!$B$2:$B$431,C9)+SUMIFS(doubles!$P$2:$P$431,doubles!$C$2:$C$431,$C$3,doubles!$B$2:$B$431,C9)),"")</f>
        <v/>
      </c>
      <c r="P9" s="10">
        <f>IFERROR((SUMIFS(doubles!$K$2:$K$431,doubles!$C$2:$C$431,$C$3,doubles!$B$2:$B$431,C9)+SUMIFS(doubles!$L$2:$L$431,doubles!$C$2:$C$431,$C$3,doubles!$B$2:$B$431,C9))/(2*COUNTIFS(doubles!$C$2:$C$431,$C$3,doubles!$B$2:$B$431,C9)),"")</f>
        <v/>
      </c>
      <c r="Q9" s="10">
        <f>IFERROR(SUMIFS(doubles!$K$2:$K$431,doubles!$C$2:$C$431,$C$3,doubles!$B$2:$B$431,C9)/COUNTIFS(doubles!$C$2:$C$431,$C$3,doubles!$B$2:$B$431,C9),"")</f>
        <v/>
      </c>
      <c r="R9" s="10">
        <f>IFERROR(SUMIFS(doubles!$L$2:$L$431,doubles!$C$2:$C$431,$C$3,doubles!$B$2:$B$431,C9)/COUNTIFS(doubles!$C$2:$C$431,$C$3,doubles!$B$2:$B$431,C9),"")</f>
        <v/>
      </c>
      <c r="S9" s="10">
        <f>IFERROR((SUMIFS('Gun v Gun'!$C$2:$C$500,'Gun v Gun'!$A$2:$A$500,$C$3,'Gun v Gun'!$B$2:$B$500,C9,'Gun v Gun'!$F$2:$F$500,"atk")+SUMIFS('Gun v Gun'!$C$2:$C$500,'Gun v Gun'!$A$2:$A$500,$C$3,'Gun v Gun'!$B$2:$B$500,C9,'Gun v Gun'!$F$2:$F$500,"def"))/(SUMIFS('Gun v Gun'!$C$2:$C$500,'Gun v Gun'!$A$2:$A$500,$C$3,'Gun v Gun'!$B$2:$B$500,C9,'Gun v Gun'!$F$2:$F$500,"atk")+SUMIFS('Gun v Gun'!$D$2:$D$500,'Gun v Gun'!$A$2:$A$500,$C$3,'Gun v Gun'!$B$2:$B$500,C9,'Gun v Gun'!$F$2:$F$500,"atk")+SUMIFS('Gun v Gun'!$C$2:$C$500,'Gun v Gun'!$A$2:$A$500,$C$3,'Gun v Gun'!$B$2:$B$500,C9,'Gun v Gun'!$F$2:$F$500,"def")+SUMIFS('Gun v Gun'!$D$2:$D$500,'Gun v Gun'!$A$2:$A$500,$C$3,'Gun v Gun'!$B$2:$B$500,C9,'Gun v Gun'!$F$2:$F$500,"def")),"")</f>
        <v/>
      </c>
      <c r="T9" s="10">
        <f>IFERROR(SUMIFS('Gun v Gun'!$C$2:$C$500,'Gun v Gun'!$A$2:$A$500,$C$3,'Gun v Gun'!$B$2:$B$500,C9,'Gun v Gun'!$F$2:$F$500,"atk")/(SUMIFS('Gun v Gun'!$C$2:$C$500,'Gun v Gun'!$A$2:$A$500,$C$3,'Gun v Gun'!$B$2:$B$500,C9,'Gun v Gun'!$F$2:$F$500,"atk")+SUMIFS('Gun v Gun'!$D$2:$D$500,'Gun v Gun'!$A$2:$A$500,$C$3,'Gun v Gun'!$B$2:$B$500,C9,'Gun v Gun'!$F$2:$F$500,"atk")),"")</f>
        <v/>
      </c>
      <c r="U9" s="10">
        <f>IFERROR(SUMIFS('Gun v Gun'!$C$2:$C$500,'Gun v Gun'!$A$2:$A$500,$C$3,'Gun v Gun'!$B$2:$B$500,C9,'Gun v Gun'!$F$2:$F$500,"def")/(SUMIFS('Gun v Gun'!$C$2:$C$500,'Gun v Gun'!$A$2:$A$500,$C$3,'Gun v Gun'!$B$2:$B$500,C9,'Gun v Gun'!$F$2:$F$500,"def")+SUMIFS('Gun v Gun'!$D$2:$D$500,'Gun v Gun'!$A$2:$A$500,$C$3,'Gun v Gun'!$B$2:$B$500,C9,'Gun v Gun'!$F$2:$F$500,"def")),"")</f>
        <v/>
      </c>
      <c r="V9" s="10">
        <f>IFERROR((SUMIFS('Antieco'!$C$2:$C$500,'Antieco'!$A$2:$A$500,$C$3,'Antieco'!$B$2:$B$500,C9,'Antieco'!$F$2:$F$500,"atk")+SUMIFS('Antieco'!$C$2:$C$500,'Antieco'!$A$2:$A$500,$C$3,'Antieco'!$B$2:$B$500,C9,'Antieco'!$F$2:$F$500,"def"))/(SUMIFS('Antieco'!$C$2:$C$500,'Antieco'!$A$2:$A$500,$C$3,'Antieco'!$B$2:$B$500,C9,'Antieco'!$F$2:$F$500,"atk")+SUMIFS('Antieco'!$D$2:$D$500,'Antieco'!$A$2:$A$500,$C$3,'Antieco'!$B$2:$B$500,C9,'Antieco'!$F$2:$F$500,"atk")+SUMIFS('Antieco'!$C$2:$C$500,'Antieco'!$A$2:$A$500,$C$3,'Antieco'!$B$2:$B$500,C9,'Antieco'!$F$2:$F$500,"def")+SUMIFS('Antieco'!$D$2:$D$500,'Antieco'!$A$2:$A$500,$C$3,'Antieco'!$B$2:$B$500,C9,'Antieco'!$F$2:$F$500,"def")),"")</f>
        <v/>
      </c>
      <c r="W9" s="10">
        <f>IFERROR(SUMIFS('Antieco'!$C$2:$C$500,'Antieco'!$A$2:$A$500,$C$3,'Antieco'!$B$2:$B$500,C9,'Antieco'!$F$2:$F$500,"atk")/(SUMIFS('Antieco'!$C$2:$C$500,'Antieco'!$A$2:$A$500,$C$3,'Antieco'!$B$2:$B$500,C9,'Antieco'!$F$2:$F$500,"atk")+SUMIFS('Antieco'!$D$2:$D$500,'Antieco'!$A$2:$A$500,$C$3,'Antieco'!$B$2:$B$500,C9,'Antieco'!$F$2:$F$500,"atk")),"")</f>
        <v/>
      </c>
      <c r="X9" s="10">
        <f>IFERROR(SUMIFS('Antieco'!$C$2:$C$500,'Antieco'!$A$2:$A$500,$C$3,'Antieco'!$B$2:$B$500,C9,'Antieco'!$F$2:$F$500,"def")/(SUMIFS('Antieco'!$C$2:$C$500,'Antieco'!$A$2:$A$500,$C$3,'Antieco'!$B$2:$B$500,C9,'Antieco'!$F$2:$F$500,"def")+SUMIFS('Antieco'!$D$2:$D$500,'Antieco'!$A$2:$A$500,$C$3,'Antieco'!$B$2:$B$500,C9,'Antieco'!$F$2:$F$500,"def")),"")</f>
        <v/>
      </c>
      <c r="Y9" s="10">
        <f>IFERROR((SUMIFS('ecos'!$C$2:$C$500,'ecos'!$A$2:$A$500,$C$3,'ecos'!$B$2:$B$500,C9,'ecos'!$F$2:$F$500,"atk")+SUMIFS('ecos'!$C$2:$C$500,'ecos'!$A$2:$A$500,$C$3,'ecos'!$B$2:$B$500,C9,'ecos'!$F$2:$F$500,"def"))/(SUMIFS('ecos'!$C$2:$C$500,'ecos'!$A$2:$A$500,$C$3,'ecos'!$B$2:$B$500,C9,'ecos'!$F$2:$F$500,"atk")+SUMIFS('ecos'!$D$2:$D$500,'ecos'!$A$2:$A$500,$C$3,'ecos'!$B$2:$B$500,C9,'ecos'!$F$2:$F$500,"atk")+SUMIFS('ecos'!$C$2:$C$500,'ecos'!$A$2:$A$500,$C$3,'ecos'!$B$2:$B$500,C9,'ecos'!$F$2:$F$500,"def")+SUMIFS('ecos'!$D$2:$D$500,'ecos'!$A$2:$A$500,$C$3,'ecos'!$B$2:$B$500,C9,'ecos'!$F$2:$F$500,"def")),"")</f>
        <v/>
      </c>
      <c r="Z9" s="10">
        <f>IFERROR(SUMIFS('ecos'!$C$2:$C$500,'ecos'!$A$2:$A$500,$C$3,'ecos'!$B$2:$B$500,C9,'ecos'!$F$2:$F$500,"atk")/(SUMIFS('ecos'!$C$2:$C$500,'ecos'!$A$2:$A$500,$C$3,'ecos'!$B$2:$B$500,C9,'ecos'!$F$2:$F$500,"atk")+SUMIFS('ecos'!$D$2:$D$500,'ecos'!$A$2:$A$500,$C$3,'ecos'!$B$2:$B$500,C9,'ecos'!$F$2:$F$500,"atk")),"")</f>
        <v/>
      </c>
      <c r="AA9" s="10">
        <f>IFERROR(SUMIFS('ecos'!$C$2:$C$500,'ecos'!$A$2:$A$500,$C$3,'ecos'!$B$2:$B$500,C9,'ecos'!$F$2:$F$500,"def")/(SUMIFS('ecos'!$C$2:$C$500,'ecos'!$A$2:$A$500,$C$3,'ecos'!$B$2:$B$500,C9,'ecos'!$F$2:$F$500,"def")+SUMIFS('ecos'!$D$2:$D$500,'ecos'!$A$2:$A$500,$C$3,'ecos'!$B$2:$B$500,C9,'ecos'!$F$2:$F$500,"def")),"")</f>
        <v/>
      </c>
      <c r="AB9" s="1" t="n"/>
      <c r="AC9" s="8" t="inlineStr">
        <is>
          <t>Breeze</t>
        </is>
      </c>
      <c r="AD9" s="9">
        <f>SUMIFS('Post Plants'!$E$2:$E$500,'Post Plants'!$A$2:$A$500,$C$3,'Post Plants'!$B$2:$B$500,C9,'Post Plants'!$D$2:$D$500,"atk")</f>
        <v/>
      </c>
      <c r="AE9" s="9">
        <f>SUMIFS(doubles!$M$2:$M$431,doubles!$C$2:$C$431,$C$3,doubles!$B$2:$B$431,C9)+SUMIFS(doubles!$N$2:$N$431,doubles!$C$2:$C$431,$C$3,doubles!$B$2:$B$431,C9)</f>
        <v/>
      </c>
      <c r="AF9" s="11">
        <f>IFERROR(AD9/J9,"")</f>
        <v/>
      </c>
      <c r="AG9" s="10">
        <f>IFERROR(SUMIFS('Post Plants'!$F$2:$F$500,'Post Plants'!$A$2:$A$500,$C$3,'Post Plants'!$B$2:$B$500,C9,'Post Plants'!$D$2:$D$500,"atk")/SUMIFS('Post Plants'!$E$2:$E$500,'Post Plants'!$A$2:$A$500,$C$3,'Post Plants'!$B$2:$B$500,C9,'Post Plants'!$D$2:$D$500,"atk"),"")</f>
        <v/>
      </c>
      <c r="AH9" s="9" t="inlineStr"/>
      <c r="AI9" s="9">
        <f>SUMIFS('Post Plants'!$E$2:$E$500,'Post Plants'!$A$2:$A$500,$C$3,'Post Plants'!$B$2:$B$500,C9,'Post Plants'!$D$2:$D$500,"def")</f>
        <v/>
      </c>
      <c r="AJ9" s="9">
        <f>SUMIFS(doubles!$O$2:$O$431,doubles!$C$2:$C$431,$C$3,doubles!$B$2:$B$431,C9)+SUMIFS(doubles!$P$2:$P$431,doubles!$C$2:$C$431,$C$3,doubles!$B$2:$B$431,C9)</f>
        <v/>
      </c>
      <c r="AK9" s="11">
        <f>IFERROR(AI9/J9,"")</f>
        <v/>
      </c>
      <c r="AL9" s="10">
        <f>IFERROR(SUMIFS('Post Plants'!$F$2:$F$500,'Post Plants'!$A$2:$A$500,$C$3,'Post Plants'!$B$2:$B$500,C9,'Post Plants'!$D$2:$D$500,"def")/SUMIFS('Post Plants'!$E$2:$E$500,'Post Plants'!$A$2:$A$500,$C$3,'Post Plants'!$B$2:$B$500,C9,'Post Plants'!$D$2:$D$500,"def"),"")</f>
        <v/>
      </c>
      <c r="AM9" s="9" t="inlineStr"/>
      <c r="AN9" s="1" t="n"/>
      <c r="AO9" s="1" t="n"/>
      <c r="AP9" s="1" t="n"/>
      <c r="AQ9" s="1" t="n"/>
    </row>
    <row r="10">
      <c r="A10" s="1" t="n"/>
      <c r="B10" s="1" t="n"/>
      <c r="C10" s="12" t="inlineStr">
        <is>
          <t>Corrode</t>
        </is>
      </c>
      <c r="D10" s="12">
        <f>IFERROR(INDEX(doubles!$E$2:$E$431,MATCH(C10&amp;"_"&amp;$C$3,doubles!$S$2:$S$431&amp;"_"&amp;doubles!$C$2:$C$431,0)),"")</f>
        <v/>
      </c>
      <c r="E10" s="5" t="n"/>
      <c r="F10" s="5" t="n"/>
      <c r="G10" s="5" t="n"/>
      <c r="H10" s="6" t="n"/>
      <c r="I10" s="13">
        <f>IFERROR(COUNTIFS(doubles!$C$2:$C$431,$C$3,doubles!$B$2:$B$431,C10,doubles!$E$2:$E$431,D10),"")</f>
        <v/>
      </c>
      <c r="J10" s="13">
        <f>COUNTIFS(doubles!$C$2:$C$431,$C$3,doubles!$B$2:$B$431,C10)</f>
        <v/>
      </c>
      <c r="K10" s="13">
        <f>COUNTIFS(doubles!$C$2:$C$431,$C$3,doubles!$B$2:$B$431,C10,doubles!$R$2:$R$431,$C$3)</f>
        <v/>
      </c>
      <c r="L10" s="13">
        <f>J10-K10</f>
        <v/>
      </c>
      <c r="M10" s="14">
        <f>IFERROR((SUMIFS(doubles!$M$2:$M$431,doubles!$C$2:$C$431,$C$3,doubles!$B$2:$B$431,C10)+SUMIFS(doubles!$O$2:$O$431,doubles!$C$2:$C$431,$C$3,doubles!$B$2:$B$431,C10))/(SUMIFS(doubles!$M$2:$M$431,doubles!$C$2:$C$431,$C$3,doubles!$B$2:$B$431,C10)+SUMIFS(doubles!$N$2:$N$431,doubles!$C$2:$C$431,$C$3,doubles!$B$2:$B$431,C10)+SUMIFS(doubles!$O$2:$O$431,doubles!$C$2:$C$431,$C$3,doubles!$B$2:$B$431,C10)+SUMIFS(doubles!$P$2:$P$431,doubles!$C$2:$C$431,$C$3,doubles!$B$2:$B$431,C10)),"")</f>
        <v/>
      </c>
      <c r="N10" s="14">
        <f>IFERROR(SUMIFS(doubles!$M$2:$M$431,doubles!$C$2:$C$431,$C$3,doubles!$B$2:$B$431,C10)/(SUMIFS(doubles!$M$2:$M$431,doubles!$C$2:$C$431,$C$3,doubles!$B$2:$B$431,C10)+SUMIFS(doubles!$N$2:$N$431,doubles!$C$2:$C$431,$C$3,doubles!$B$2:$B$431,C10)),"")</f>
        <v/>
      </c>
      <c r="O10" s="14">
        <f>IFERROR(SUMIFS(doubles!$O$2:$O$431,doubles!$C$2:$C$431,$C$3,doubles!$B$2:$B$431,C10)/(SUMIFS(doubles!$O$2:$O$431,doubles!$C$2:$C$431,$C$3,doubles!$B$2:$B$431,C10)+SUMIFS(doubles!$P$2:$P$431,doubles!$C$2:$C$431,$C$3,doubles!$B$2:$B$431,C10)),"")</f>
        <v/>
      </c>
      <c r="P10" s="14">
        <f>IFERROR((SUMIFS(doubles!$K$2:$K$431,doubles!$C$2:$C$431,$C$3,doubles!$B$2:$B$431,C10)+SUMIFS(doubles!$L$2:$L$431,doubles!$C$2:$C$431,$C$3,doubles!$B$2:$B$431,C10))/(2*COUNTIFS(doubles!$C$2:$C$431,$C$3,doubles!$B$2:$B$431,C10)),"")</f>
        <v/>
      </c>
      <c r="Q10" s="14">
        <f>IFERROR(SUMIFS(doubles!$K$2:$K$431,doubles!$C$2:$C$431,$C$3,doubles!$B$2:$B$431,C10)/COUNTIFS(doubles!$C$2:$C$431,$C$3,doubles!$B$2:$B$431,C10),"")</f>
        <v/>
      </c>
      <c r="R10" s="14">
        <f>IFERROR(SUMIFS(doubles!$L$2:$L$431,doubles!$C$2:$C$431,$C$3,doubles!$B$2:$B$431,C10)/COUNTIFS(doubles!$C$2:$C$431,$C$3,doubles!$B$2:$B$431,C10),"")</f>
        <v/>
      </c>
      <c r="S10" s="14">
        <f>IFERROR((SUMIFS('Gun v Gun'!$C$2:$C$500,'Gun v Gun'!$A$2:$A$500,$C$3,'Gun v Gun'!$B$2:$B$500,C10,'Gun v Gun'!$F$2:$F$500,"atk")+SUMIFS('Gun v Gun'!$C$2:$C$500,'Gun v Gun'!$A$2:$A$500,$C$3,'Gun v Gun'!$B$2:$B$500,C10,'Gun v Gun'!$F$2:$F$500,"def"))/(SUMIFS('Gun v Gun'!$C$2:$C$500,'Gun v Gun'!$A$2:$A$500,$C$3,'Gun v Gun'!$B$2:$B$500,C10,'Gun v Gun'!$F$2:$F$500,"atk")+SUMIFS('Gun v Gun'!$D$2:$D$500,'Gun v Gun'!$A$2:$A$500,$C$3,'Gun v Gun'!$B$2:$B$500,C10,'Gun v Gun'!$F$2:$F$500,"atk")+SUMIFS('Gun v Gun'!$C$2:$C$500,'Gun v Gun'!$A$2:$A$500,$C$3,'Gun v Gun'!$B$2:$B$500,C10,'Gun v Gun'!$F$2:$F$500,"def")+SUMIFS('Gun v Gun'!$D$2:$D$500,'Gun v Gun'!$A$2:$A$500,$C$3,'Gun v Gun'!$B$2:$B$500,C10,'Gun v Gun'!$F$2:$F$500,"def")),"")</f>
        <v/>
      </c>
      <c r="T10" s="14">
        <f>IFERROR(SUMIFS('Gun v Gun'!$C$2:$C$500,'Gun v Gun'!$A$2:$A$500,$C$3,'Gun v Gun'!$B$2:$B$500,C10,'Gun v Gun'!$F$2:$F$500,"atk")/(SUMIFS('Gun v Gun'!$C$2:$C$500,'Gun v Gun'!$A$2:$A$500,$C$3,'Gun v Gun'!$B$2:$B$500,C10,'Gun v Gun'!$F$2:$F$500,"atk")+SUMIFS('Gun v Gun'!$D$2:$D$500,'Gun v Gun'!$A$2:$A$500,$C$3,'Gun v Gun'!$B$2:$B$500,C10,'Gun v Gun'!$F$2:$F$500,"atk")),"")</f>
        <v/>
      </c>
      <c r="U10" s="14">
        <f>IFERROR(SUMIFS('Gun v Gun'!$C$2:$C$500,'Gun v Gun'!$A$2:$A$500,$C$3,'Gun v Gun'!$B$2:$B$500,C10,'Gun v Gun'!$F$2:$F$500,"def")/(SUMIFS('Gun v Gun'!$C$2:$C$500,'Gun v Gun'!$A$2:$A$500,$C$3,'Gun v Gun'!$B$2:$B$500,C10,'Gun v Gun'!$F$2:$F$500,"def")+SUMIFS('Gun v Gun'!$D$2:$D$500,'Gun v Gun'!$A$2:$A$500,$C$3,'Gun v Gun'!$B$2:$B$500,C10,'Gun v Gun'!$F$2:$F$500,"def")),"")</f>
        <v/>
      </c>
      <c r="V10" s="14">
        <f>IFERROR((SUMIFS('Antieco'!$C$2:$C$500,'Antieco'!$A$2:$A$500,$C$3,'Antieco'!$B$2:$B$500,C10,'Antieco'!$F$2:$F$500,"atk")+SUMIFS('Antieco'!$C$2:$C$500,'Antieco'!$A$2:$A$500,$C$3,'Antieco'!$B$2:$B$500,C10,'Antieco'!$F$2:$F$500,"def"))/(SUMIFS('Antieco'!$C$2:$C$500,'Antieco'!$A$2:$A$500,$C$3,'Antieco'!$B$2:$B$500,C10,'Antieco'!$F$2:$F$500,"atk")+SUMIFS('Antieco'!$D$2:$D$500,'Antieco'!$A$2:$A$500,$C$3,'Antieco'!$B$2:$B$500,C10,'Antieco'!$F$2:$F$500,"atk")+SUMIFS('Antieco'!$C$2:$C$500,'Antieco'!$A$2:$A$500,$C$3,'Antieco'!$B$2:$B$500,C10,'Antieco'!$F$2:$F$500,"def")+SUMIFS('Antieco'!$D$2:$D$500,'Antieco'!$A$2:$A$500,$C$3,'Antieco'!$B$2:$B$500,C10,'Antieco'!$F$2:$F$500,"def")),"")</f>
        <v/>
      </c>
      <c r="W10" s="14">
        <f>IFERROR(SUMIFS('Antieco'!$C$2:$C$500,'Antieco'!$A$2:$A$500,$C$3,'Antieco'!$B$2:$B$500,C10,'Antieco'!$F$2:$F$500,"atk")/(SUMIFS('Antieco'!$C$2:$C$500,'Antieco'!$A$2:$A$500,$C$3,'Antieco'!$B$2:$B$500,C10,'Antieco'!$F$2:$F$500,"atk")+SUMIFS('Antieco'!$D$2:$D$500,'Antieco'!$A$2:$A$500,$C$3,'Antieco'!$B$2:$B$500,C10,'Antieco'!$F$2:$F$500,"atk")),"")</f>
        <v/>
      </c>
      <c r="X10" s="14">
        <f>IFERROR(SUMIFS('Antieco'!$C$2:$C$500,'Antieco'!$A$2:$A$500,$C$3,'Antieco'!$B$2:$B$500,C10,'Antieco'!$F$2:$F$500,"def")/(SUMIFS('Antieco'!$C$2:$C$500,'Antieco'!$A$2:$A$500,$C$3,'Antieco'!$B$2:$B$500,C10,'Antieco'!$F$2:$F$500,"def")+SUMIFS('Antieco'!$D$2:$D$500,'Antieco'!$A$2:$A$500,$C$3,'Antieco'!$B$2:$B$500,C10,'Antieco'!$F$2:$F$500,"def")),"")</f>
        <v/>
      </c>
      <c r="Y10" s="14">
        <f>IFERROR((SUMIFS('ecos'!$C$2:$C$500,'ecos'!$A$2:$A$500,$C$3,'ecos'!$B$2:$B$500,C10,'ecos'!$F$2:$F$500,"atk")+SUMIFS('ecos'!$C$2:$C$500,'ecos'!$A$2:$A$500,$C$3,'ecos'!$B$2:$B$500,C10,'ecos'!$F$2:$F$500,"def"))/(SUMIFS('ecos'!$C$2:$C$500,'ecos'!$A$2:$A$500,$C$3,'ecos'!$B$2:$B$500,C10,'ecos'!$F$2:$F$500,"atk")+SUMIFS('ecos'!$D$2:$D$500,'ecos'!$A$2:$A$500,$C$3,'ecos'!$B$2:$B$500,C10,'ecos'!$F$2:$F$500,"atk")+SUMIFS('ecos'!$C$2:$C$500,'ecos'!$A$2:$A$500,$C$3,'ecos'!$B$2:$B$500,C10,'ecos'!$F$2:$F$500,"def")+SUMIFS('ecos'!$D$2:$D$500,'ecos'!$A$2:$A$500,$C$3,'ecos'!$B$2:$B$500,C10,'ecos'!$F$2:$F$500,"def")),"")</f>
        <v/>
      </c>
      <c r="Z10" s="14">
        <f>IFERROR(SUMIFS('ecos'!$C$2:$C$500,'ecos'!$A$2:$A$500,$C$3,'ecos'!$B$2:$B$500,C10,'ecos'!$F$2:$F$500,"atk")/(SUMIFS('ecos'!$C$2:$C$500,'ecos'!$A$2:$A$500,$C$3,'ecos'!$B$2:$B$500,C10,'ecos'!$F$2:$F$500,"atk")+SUMIFS('ecos'!$D$2:$D$500,'ecos'!$A$2:$A$500,$C$3,'ecos'!$B$2:$B$500,C10,'ecos'!$F$2:$F$500,"atk")),"")</f>
        <v/>
      </c>
      <c r="AA10" s="14">
        <f>IFERROR(SUMIFS('ecos'!$C$2:$C$500,'ecos'!$A$2:$A$500,$C$3,'ecos'!$B$2:$B$500,C10,'ecos'!$F$2:$F$500,"def")/(SUMIFS('ecos'!$C$2:$C$500,'ecos'!$A$2:$A$500,$C$3,'ecos'!$B$2:$B$500,C10,'ecos'!$F$2:$F$500,"def")+SUMIFS('ecos'!$D$2:$D$500,'ecos'!$A$2:$A$500,$C$3,'ecos'!$B$2:$B$500,C10,'ecos'!$F$2:$F$500,"def")),"")</f>
        <v/>
      </c>
      <c r="AB10" s="1" t="n"/>
      <c r="AC10" s="12" t="inlineStr">
        <is>
          <t>Corrode</t>
        </is>
      </c>
      <c r="AD10" s="13">
        <f>SUMIFS('Post Plants'!$E$2:$E$500,'Post Plants'!$A$2:$A$500,$C$3,'Post Plants'!$B$2:$B$500,C10,'Post Plants'!$D$2:$D$500,"atk")</f>
        <v/>
      </c>
      <c r="AE10" s="13">
        <f>SUMIFS(doubles!$M$2:$M$431,doubles!$C$2:$C$431,$C$3,doubles!$B$2:$B$431,C10)+SUMIFS(doubles!$N$2:$N$431,doubles!$C$2:$C$431,$C$3,doubles!$B$2:$B$431,C10)</f>
        <v/>
      </c>
      <c r="AF10" s="15">
        <f>IFERROR(AD10/J10,"")</f>
        <v/>
      </c>
      <c r="AG10" s="14">
        <f>IFERROR(SUMIFS('Post Plants'!$F$2:$F$500,'Post Plants'!$A$2:$A$500,$C$3,'Post Plants'!$B$2:$B$500,C10,'Post Plants'!$D$2:$D$500,"atk")/SUMIFS('Post Plants'!$E$2:$E$500,'Post Plants'!$A$2:$A$500,$C$3,'Post Plants'!$B$2:$B$500,C10,'Post Plants'!$D$2:$D$500,"atk"),"")</f>
        <v/>
      </c>
      <c r="AH10" s="13" t="inlineStr"/>
      <c r="AI10" s="13">
        <f>SUMIFS('Post Plants'!$E$2:$E$500,'Post Plants'!$A$2:$A$500,$C$3,'Post Plants'!$B$2:$B$500,C10,'Post Plants'!$D$2:$D$500,"def")</f>
        <v/>
      </c>
      <c r="AJ10" s="13">
        <f>SUMIFS(doubles!$O$2:$O$431,doubles!$C$2:$C$431,$C$3,doubles!$B$2:$B$431,C10)+SUMIFS(doubles!$P$2:$P$431,doubles!$C$2:$C$431,$C$3,doubles!$B$2:$B$431,C10)</f>
        <v/>
      </c>
      <c r="AK10" s="15">
        <f>IFERROR(AI10/J10,"")</f>
        <v/>
      </c>
      <c r="AL10" s="14">
        <f>IFERROR(SUMIFS('Post Plants'!$F$2:$F$500,'Post Plants'!$A$2:$A$500,$C$3,'Post Plants'!$B$2:$B$500,C10,'Post Plants'!$D$2:$D$500,"def")/SUMIFS('Post Plants'!$E$2:$E$500,'Post Plants'!$A$2:$A$500,$C$3,'Post Plants'!$B$2:$B$500,C10,'Post Plants'!$D$2:$D$500,"def"),"")</f>
        <v/>
      </c>
      <c r="AM10" s="13" t="inlineStr"/>
      <c r="AN10" s="1" t="n"/>
      <c r="AO10" s="1" t="n"/>
      <c r="AP10" s="1" t="n"/>
      <c r="AQ10" s="1" t="n"/>
    </row>
    <row r="11">
      <c r="A11" s="1" t="n"/>
      <c r="B11" s="1" t="n"/>
      <c r="C11" s="8" t="inlineStr">
        <is>
          <t>Haven</t>
        </is>
      </c>
      <c r="D11" s="8">
        <f>IFERROR(INDEX(doubles!$E$2:$E$431,MATCH(C11&amp;"_"&amp;$C$3,doubles!$S$2:$S$431&amp;"_"&amp;doubles!$C$2:$C$431,0)),"")</f>
        <v/>
      </c>
      <c r="E11" s="5" t="n"/>
      <c r="F11" s="5" t="n"/>
      <c r="G11" s="5" t="n"/>
      <c r="H11" s="6" t="n"/>
      <c r="I11" s="9">
        <f>IFERROR(COUNTIFS(doubles!$C$2:$C$431,$C$3,doubles!$B$2:$B$431,C11,doubles!$E$2:$E$431,D11),"")</f>
        <v/>
      </c>
      <c r="J11" s="9">
        <f>COUNTIFS(doubles!$C$2:$C$431,$C$3,doubles!$B$2:$B$431,C11)</f>
        <v/>
      </c>
      <c r="K11" s="9">
        <f>COUNTIFS(doubles!$C$2:$C$431,$C$3,doubles!$B$2:$B$431,C11,doubles!$R$2:$R$431,$C$3)</f>
        <v/>
      </c>
      <c r="L11" s="9">
        <f>J11-K11</f>
        <v/>
      </c>
      <c r="M11" s="10">
        <f>IFERROR((SUMIFS(doubles!$M$2:$M$431,doubles!$C$2:$C$431,$C$3,doubles!$B$2:$B$431,C11)+SUMIFS(doubles!$O$2:$O$431,doubles!$C$2:$C$431,$C$3,doubles!$B$2:$B$431,C11))/(SUMIFS(doubles!$M$2:$M$431,doubles!$C$2:$C$431,$C$3,doubles!$B$2:$B$431,C11)+SUMIFS(doubles!$N$2:$N$431,doubles!$C$2:$C$431,$C$3,doubles!$B$2:$B$431,C11)+SUMIFS(doubles!$O$2:$O$431,doubles!$C$2:$C$431,$C$3,doubles!$B$2:$B$431,C11)+SUMIFS(doubles!$P$2:$P$431,doubles!$C$2:$C$431,$C$3,doubles!$B$2:$B$431,C11)),"")</f>
        <v/>
      </c>
      <c r="N11" s="10">
        <f>IFERROR(SUMIFS(doubles!$M$2:$M$431,doubles!$C$2:$C$431,$C$3,doubles!$B$2:$B$431,C11)/(SUMIFS(doubles!$M$2:$M$431,doubles!$C$2:$C$431,$C$3,doubles!$B$2:$B$431,C11)+SUMIFS(doubles!$N$2:$N$431,doubles!$C$2:$C$431,$C$3,doubles!$B$2:$B$431,C11)),"")</f>
        <v/>
      </c>
      <c r="O11" s="10">
        <f>IFERROR(SUMIFS(doubles!$O$2:$O$431,doubles!$C$2:$C$431,$C$3,doubles!$B$2:$B$431,C11)/(SUMIFS(doubles!$O$2:$O$431,doubles!$C$2:$C$431,$C$3,doubles!$B$2:$B$431,C11)+SUMIFS(doubles!$P$2:$P$431,doubles!$C$2:$C$431,$C$3,doubles!$B$2:$B$431,C11)),"")</f>
        <v/>
      </c>
      <c r="P11" s="10">
        <f>IFERROR((SUMIFS(doubles!$K$2:$K$431,doubles!$C$2:$C$431,$C$3,doubles!$B$2:$B$431,C11)+SUMIFS(doubles!$L$2:$L$431,doubles!$C$2:$C$431,$C$3,doubles!$B$2:$B$431,C11))/(2*COUNTIFS(doubles!$C$2:$C$431,$C$3,doubles!$B$2:$B$431,C11)),"")</f>
        <v/>
      </c>
      <c r="Q11" s="10">
        <f>IFERROR(SUMIFS(doubles!$K$2:$K$431,doubles!$C$2:$C$431,$C$3,doubles!$B$2:$B$431,C11)/COUNTIFS(doubles!$C$2:$C$431,$C$3,doubles!$B$2:$B$431,C11),"")</f>
        <v/>
      </c>
      <c r="R11" s="10">
        <f>IFERROR(SUMIFS(doubles!$L$2:$L$431,doubles!$C$2:$C$431,$C$3,doubles!$B$2:$B$431,C11)/COUNTIFS(doubles!$C$2:$C$431,$C$3,doubles!$B$2:$B$431,C11),"")</f>
        <v/>
      </c>
      <c r="S11" s="10">
        <f>IFERROR((SUMIFS('Gun v Gun'!$C$2:$C$500,'Gun v Gun'!$A$2:$A$500,$C$3,'Gun v Gun'!$B$2:$B$500,C11,'Gun v Gun'!$F$2:$F$500,"atk")+SUMIFS('Gun v Gun'!$C$2:$C$500,'Gun v Gun'!$A$2:$A$500,$C$3,'Gun v Gun'!$B$2:$B$500,C11,'Gun v Gun'!$F$2:$F$500,"def"))/(SUMIFS('Gun v Gun'!$C$2:$C$500,'Gun v Gun'!$A$2:$A$500,$C$3,'Gun v Gun'!$B$2:$B$500,C11,'Gun v Gun'!$F$2:$F$500,"atk")+SUMIFS('Gun v Gun'!$D$2:$D$500,'Gun v Gun'!$A$2:$A$500,$C$3,'Gun v Gun'!$B$2:$B$500,C11,'Gun v Gun'!$F$2:$F$500,"atk")+SUMIFS('Gun v Gun'!$C$2:$C$500,'Gun v Gun'!$A$2:$A$500,$C$3,'Gun v Gun'!$B$2:$B$500,C11,'Gun v Gun'!$F$2:$F$500,"def")+SUMIFS('Gun v Gun'!$D$2:$D$500,'Gun v Gun'!$A$2:$A$500,$C$3,'Gun v Gun'!$B$2:$B$500,C11,'Gun v Gun'!$F$2:$F$500,"def")),"")</f>
        <v/>
      </c>
      <c r="T11" s="10">
        <f>IFERROR(SUMIFS('Gun v Gun'!$C$2:$C$500,'Gun v Gun'!$A$2:$A$500,$C$3,'Gun v Gun'!$B$2:$B$500,C11,'Gun v Gun'!$F$2:$F$500,"atk")/(SUMIFS('Gun v Gun'!$C$2:$C$500,'Gun v Gun'!$A$2:$A$500,$C$3,'Gun v Gun'!$B$2:$B$500,C11,'Gun v Gun'!$F$2:$F$500,"atk")+SUMIFS('Gun v Gun'!$D$2:$D$500,'Gun v Gun'!$A$2:$A$500,$C$3,'Gun v Gun'!$B$2:$B$500,C11,'Gun v Gun'!$F$2:$F$500,"atk")),"")</f>
        <v/>
      </c>
      <c r="U11" s="10">
        <f>IFERROR(SUMIFS('Gun v Gun'!$C$2:$C$500,'Gun v Gun'!$A$2:$A$500,$C$3,'Gun v Gun'!$B$2:$B$500,C11,'Gun v Gun'!$F$2:$F$500,"def")/(SUMIFS('Gun v Gun'!$C$2:$C$500,'Gun v Gun'!$A$2:$A$500,$C$3,'Gun v Gun'!$B$2:$B$500,C11,'Gun v Gun'!$F$2:$F$500,"def")+SUMIFS('Gun v Gun'!$D$2:$D$500,'Gun v Gun'!$A$2:$A$500,$C$3,'Gun v Gun'!$B$2:$B$500,C11,'Gun v Gun'!$F$2:$F$500,"def")),"")</f>
        <v/>
      </c>
      <c r="V11" s="10">
        <f>IFERROR((SUMIFS('Antieco'!$C$2:$C$500,'Antieco'!$A$2:$A$500,$C$3,'Antieco'!$B$2:$B$500,C11,'Antieco'!$F$2:$F$500,"atk")+SUMIFS('Antieco'!$C$2:$C$500,'Antieco'!$A$2:$A$500,$C$3,'Antieco'!$B$2:$B$500,C11,'Antieco'!$F$2:$F$500,"def"))/(SUMIFS('Antieco'!$C$2:$C$500,'Antieco'!$A$2:$A$500,$C$3,'Antieco'!$B$2:$B$500,C11,'Antieco'!$F$2:$F$500,"atk")+SUMIFS('Antieco'!$D$2:$D$500,'Antieco'!$A$2:$A$500,$C$3,'Antieco'!$B$2:$B$500,C11,'Antieco'!$F$2:$F$500,"atk")+SUMIFS('Antieco'!$C$2:$C$500,'Antieco'!$A$2:$A$500,$C$3,'Antieco'!$B$2:$B$500,C11,'Antieco'!$F$2:$F$500,"def")+SUMIFS('Antieco'!$D$2:$D$500,'Antieco'!$A$2:$A$500,$C$3,'Antieco'!$B$2:$B$500,C11,'Antieco'!$F$2:$F$500,"def")),"")</f>
        <v/>
      </c>
      <c r="W11" s="10">
        <f>IFERROR(SUMIFS('Antieco'!$C$2:$C$500,'Antieco'!$A$2:$A$500,$C$3,'Antieco'!$B$2:$B$500,C11,'Antieco'!$F$2:$F$500,"atk")/(SUMIFS('Antieco'!$C$2:$C$500,'Antieco'!$A$2:$A$500,$C$3,'Antieco'!$B$2:$B$500,C11,'Antieco'!$F$2:$F$500,"atk")+SUMIFS('Antieco'!$D$2:$D$500,'Antieco'!$A$2:$A$500,$C$3,'Antieco'!$B$2:$B$500,C11,'Antieco'!$F$2:$F$500,"atk")),"")</f>
        <v/>
      </c>
      <c r="X11" s="10">
        <f>IFERROR(SUMIFS('Antieco'!$C$2:$C$500,'Antieco'!$A$2:$A$500,$C$3,'Antieco'!$B$2:$B$500,C11,'Antieco'!$F$2:$F$500,"def")/(SUMIFS('Antieco'!$C$2:$C$500,'Antieco'!$A$2:$A$500,$C$3,'Antieco'!$B$2:$B$500,C11,'Antieco'!$F$2:$F$500,"def")+SUMIFS('Antieco'!$D$2:$D$500,'Antieco'!$A$2:$A$500,$C$3,'Antieco'!$B$2:$B$500,C11,'Antieco'!$F$2:$F$500,"def")),"")</f>
        <v/>
      </c>
      <c r="Y11" s="10">
        <f>IFERROR((SUMIFS('ecos'!$C$2:$C$500,'ecos'!$A$2:$A$500,$C$3,'ecos'!$B$2:$B$500,C11,'ecos'!$F$2:$F$500,"atk")+SUMIFS('ecos'!$C$2:$C$500,'ecos'!$A$2:$A$500,$C$3,'ecos'!$B$2:$B$500,C11,'ecos'!$F$2:$F$500,"def"))/(SUMIFS('ecos'!$C$2:$C$500,'ecos'!$A$2:$A$500,$C$3,'ecos'!$B$2:$B$500,C11,'ecos'!$F$2:$F$500,"atk")+SUMIFS('ecos'!$D$2:$D$500,'ecos'!$A$2:$A$500,$C$3,'ecos'!$B$2:$B$500,C11,'ecos'!$F$2:$F$500,"atk")+SUMIFS('ecos'!$C$2:$C$500,'ecos'!$A$2:$A$500,$C$3,'ecos'!$B$2:$B$500,C11,'ecos'!$F$2:$F$500,"def")+SUMIFS('ecos'!$D$2:$D$500,'ecos'!$A$2:$A$500,$C$3,'ecos'!$B$2:$B$500,C11,'ecos'!$F$2:$F$500,"def")),"")</f>
        <v/>
      </c>
      <c r="Z11" s="10">
        <f>IFERROR(SUMIFS('ecos'!$C$2:$C$500,'ecos'!$A$2:$A$500,$C$3,'ecos'!$B$2:$B$500,C11,'ecos'!$F$2:$F$500,"atk")/(SUMIFS('ecos'!$C$2:$C$500,'ecos'!$A$2:$A$500,$C$3,'ecos'!$B$2:$B$500,C11,'ecos'!$F$2:$F$500,"atk")+SUMIFS('ecos'!$D$2:$D$500,'ecos'!$A$2:$A$500,$C$3,'ecos'!$B$2:$B$500,C11,'ecos'!$F$2:$F$500,"atk")),"")</f>
        <v/>
      </c>
      <c r="AA11" s="10">
        <f>IFERROR(SUMIFS('ecos'!$C$2:$C$500,'ecos'!$A$2:$A$500,$C$3,'ecos'!$B$2:$B$500,C11,'ecos'!$F$2:$F$500,"def")/(SUMIFS('ecos'!$C$2:$C$500,'ecos'!$A$2:$A$500,$C$3,'ecos'!$B$2:$B$500,C11,'ecos'!$F$2:$F$500,"def")+SUMIFS('ecos'!$D$2:$D$500,'ecos'!$A$2:$A$500,$C$3,'ecos'!$B$2:$B$500,C11,'ecos'!$F$2:$F$500,"def")),"")</f>
        <v/>
      </c>
      <c r="AB11" s="1" t="n"/>
      <c r="AC11" s="8" t="inlineStr">
        <is>
          <t>Haven</t>
        </is>
      </c>
      <c r="AD11" s="9">
        <f>SUMIFS('Post Plants'!$E$2:$E$500,'Post Plants'!$A$2:$A$500,$C$3,'Post Plants'!$B$2:$B$500,C11,'Post Plants'!$D$2:$D$500,"atk")</f>
        <v/>
      </c>
      <c r="AE11" s="9">
        <f>SUMIFS(doubles!$M$2:$M$431,doubles!$C$2:$C$431,$C$3,doubles!$B$2:$B$431,C11)+SUMIFS(doubles!$N$2:$N$431,doubles!$C$2:$C$431,$C$3,doubles!$B$2:$B$431,C11)</f>
        <v/>
      </c>
      <c r="AF11" s="11">
        <f>IFERROR(AD11/J11,"")</f>
        <v/>
      </c>
      <c r="AG11" s="10">
        <f>IFERROR(SUMIFS('Post Plants'!$F$2:$F$500,'Post Plants'!$A$2:$A$500,$C$3,'Post Plants'!$B$2:$B$500,C11,'Post Plants'!$D$2:$D$500,"atk")/SUMIFS('Post Plants'!$E$2:$E$500,'Post Plants'!$A$2:$A$500,$C$3,'Post Plants'!$B$2:$B$500,C11,'Post Plants'!$D$2:$D$500,"atk"),"")</f>
        <v/>
      </c>
      <c r="AH11" s="9" t="inlineStr"/>
      <c r="AI11" s="9">
        <f>SUMIFS('Post Plants'!$E$2:$E$500,'Post Plants'!$A$2:$A$500,$C$3,'Post Plants'!$B$2:$B$500,C11,'Post Plants'!$D$2:$D$500,"def")</f>
        <v/>
      </c>
      <c r="AJ11" s="9">
        <f>SUMIFS(doubles!$O$2:$O$431,doubles!$C$2:$C$431,$C$3,doubles!$B$2:$B$431,C11)+SUMIFS(doubles!$P$2:$P$431,doubles!$C$2:$C$431,$C$3,doubles!$B$2:$B$431,C11)</f>
        <v/>
      </c>
      <c r="AK11" s="11">
        <f>IFERROR(AI11/J11,"")</f>
        <v/>
      </c>
      <c r="AL11" s="10">
        <f>IFERROR(SUMIFS('Post Plants'!$F$2:$F$500,'Post Plants'!$A$2:$A$500,$C$3,'Post Plants'!$B$2:$B$500,C11,'Post Plants'!$D$2:$D$500,"def")/SUMIFS('Post Plants'!$E$2:$E$500,'Post Plants'!$A$2:$A$500,$C$3,'Post Plants'!$B$2:$B$500,C11,'Post Plants'!$D$2:$D$500,"def"),"")</f>
        <v/>
      </c>
      <c r="AM11" s="9" t="inlineStr"/>
      <c r="AN11" s="1" t="n"/>
      <c r="AO11" s="1" t="n"/>
      <c r="AP11" s="1" t="n"/>
      <c r="AQ11" s="1" t="n"/>
    </row>
    <row r="12">
      <c r="A12" s="1" t="n"/>
      <c r="B12" s="1" t="n"/>
      <c r="C12" s="12" t="inlineStr">
        <is>
          <t>Pearl</t>
        </is>
      </c>
      <c r="D12" s="12">
        <f>IFERROR(INDEX(doubles!$E$2:$E$431,MATCH(C12&amp;"_"&amp;$C$3,doubles!$S$2:$S$431&amp;"_"&amp;doubles!$C$2:$C$431,0)),"")</f>
        <v/>
      </c>
      <c r="E12" s="5" t="n"/>
      <c r="F12" s="5" t="n"/>
      <c r="G12" s="5" t="n"/>
      <c r="H12" s="6" t="n"/>
      <c r="I12" s="13">
        <f>IFERROR(COUNTIFS(doubles!$C$2:$C$431,$C$3,doubles!$B$2:$B$431,C12,doubles!$E$2:$E$431,D12),"")</f>
        <v/>
      </c>
      <c r="J12" s="13">
        <f>COUNTIFS(doubles!$C$2:$C$431,$C$3,doubles!$B$2:$B$431,C12)</f>
        <v/>
      </c>
      <c r="K12" s="13">
        <f>COUNTIFS(doubles!$C$2:$C$431,$C$3,doubles!$B$2:$B$431,C12,doubles!$R$2:$R$431,$C$3)</f>
        <v/>
      </c>
      <c r="L12" s="13">
        <f>J12-K12</f>
        <v/>
      </c>
      <c r="M12" s="14">
        <f>IFERROR((SUMIFS(doubles!$M$2:$M$431,doubles!$C$2:$C$431,$C$3,doubles!$B$2:$B$431,C12)+SUMIFS(doubles!$O$2:$O$431,doubles!$C$2:$C$431,$C$3,doubles!$B$2:$B$431,C12))/(SUMIFS(doubles!$M$2:$M$431,doubles!$C$2:$C$431,$C$3,doubles!$B$2:$B$431,C12)+SUMIFS(doubles!$N$2:$N$431,doubles!$C$2:$C$431,$C$3,doubles!$B$2:$B$431,C12)+SUMIFS(doubles!$O$2:$O$431,doubles!$C$2:$C$431,$C$3,doubles!$B$2:$B$431,C12)+SUMIFS(doubles!$P$2:$P$431,doubles!$C$2:$C$431,$C$3,doubles!$B$2:$B$431,C12)),"")</f>
        <v/>
      </c>
      <c r="N12" s="14">
        <f>IFERROR(SUMIFS(doubles!$M$2:$M$431,doubles!$C$2:$C$431,$C$3,doubles!$B$2:$B$431,C12)/(SUMIFS(doubles!$M$2:$M$431,doubles!$C$2:$C$431,$C$3,doubles!$B$2:$B$431,C12)+SUMIFS(doubles!$N$2:$N$431,doubles!$C$2:$C$431,$C$3,doubles!$B$2:$B$431,C12)),"")</f>
        <v/>
      </c>
      <c r="O12" s="14">
        <f>IFERROR(SUMIFS(doubles!$O$2:$O$431,doubles!$C$2:$C$431,$C$3,doubles!$B$2:$B$431,C12)/(SUMIFS(doubles!$O$2:$O$431,doubles!$C$2:$C$431,$C$3,doubles!$B$2:$B$431,C12)+SUMIFS(doubles!$P$2:$P$431,doubles!$C$2:$C$431,$C$3,doubles!$B$2:$B$431,C12)),"")</f>
        <v/>
      </c>
      <c r="P12" s="14">
        <f>IFERROR((SUMIFS(doubles!$K$2:$K$431,doubles!$C$2:$C$431,$C$3,doubles!$B$2:$B$431,C12)+SUMIFS(doubles!$L$2:$L$431,doubles!$C$2:$C$431,$C$3,doubles!$B$2:$B$431,C12))/(2*COUNTIFS(doubles!$C$2:$C$431,$C$3,doubles!$B$2:$B$431,C12)),"")</f>
        <v/>
      </c>
      <c r="Q12" s="14">
        <f>IFERROR(SUMIFS(doubles!$K$2:$K$431,doubles!$C$2:$C$431,$C$3,doubles!$B$2:$B$431,C12)/COUNTIFS(doubles!$C$2:$C$431,$C$3,doubles!$B$2:$B$431,C12),"")</f>
        <v/>
      </c>
      <c r="R12" s="14">
        <f>IFERROR(SUMIFS(doubles!$L$2:$L$431,doubles!$C$2:$C$431,$C$3,doubles!$B$2:$B$431,C12)/COUNTIFS(doubles!$C$2:$C$431,$C$3,doubles!$B$2:$B$431,C12),"")</f>
        <v/>
      </c>
      <c r="S12" s="14">
        <f>IFERROR((SUMIFS('Gun v Gun'!$C$2:$C$500,'Gun v Gun'!$A$2:$A$500,$C$3,'Gun v Gun'!$B$2:$B$500,C12,'Gun v Gun'!$F$2:$F$500,"atk")+SUMIFS('Gun v Gun'!$C$2:$C$500,'Gun v Gun'!$A$2:$A$500,$C$3,'Gun v Gun'!$B$2:$B$500,C12,'Gun v Gun'!$F$2:$F$500,"def"))/(SUMIFS('Gun v Gun'!$C$2:$C$500,'Gun v Gun'!$A$2:$A$500,$C$3,'Gun v Gun'!$B$2:$B$500,C12,'Gun v Gun'!$F$2:$F$500,"atk")+SUMIFS('Gun v Gun'!$D$2:$D$500,'Gun v Gun'!$A$2:$A$500,$C$3,'Gun v Gun'!$B$2:$B$500,C12,'Gun v Gun'!$F$2:$F$500,"atk")+SUMIFS('Gun v Gun'!$C$2:$C$500,'Gun v Gun'!$A$2:$A$500,$C$3,'Gun v Gun'!$B$2:$B$500,C12,'Gun v Gun'!$F$2:$F$500,"def")+SUMIFS('Gun v Gun'!$D$2:$D$500,'Gun v Gun'!$A$2:$A$500,$C$3,'Gun v Gun'!$B$2:$B$500,C12,'Gun v Gun'!$F$2:$F$500,"def")),"")</f>
        <v/>
      </c>
      <c r="T12" s="14">
        <f>IFERROR(SUMIFS('Gun v Gun'!$C$2:$C$500,'Gun v Gun'!$A$2:$A$500,$C$3,'Gun v Gun'!$B$2:$B$500,C12,'Gun v Gun'!$F$2:$F$500,"atk")/(SUMIFS('Gun v Gun'!$C$2:$C$500,'Gun v Gun'!$A$2:$A$500,$C$3,'Gun v Gun'!$B$2:$B$500,C12,'Gun v Gun'!$F$2:$F$500,"atk")+SUMIFS('Gun v Gun'!$D$2:$D$500,'Gun v Gun'!$A$2:$A$500,$C$3,'Gun v Gun'!$B$2:$B$500,C12,'Gun v Gun'!$F$2:$F$500,"atk")),"")</f>
        <v/>
      </c>
      <c r="U12" s="14">
        <f>IFERROR(SUMIFS('Gun v Gun'!$C$2:$C$500,'Gun v Gun'!$A$2:$A$500,$C$3,'Gun v Gun'!$B$2:$B$500,C12,'Gun v Gun'!$F$2:$F$500,"def")/(SUMIFS('Gun v Gun'!$C$2:$C$500,'Gun v Gun'!$A$2:$A$500,$C$3,'Gun v Gun'!$B$2:$B$500,C12,'Gun v Gun'!$F$2:$F$500,"def")+SUMIFS('Gun v Gun'!$D$2:$D$500,'Gun v Gun'!$A$2:$A$500,$C$3,'Gun v Gun'!$B$2:$B$500,C12,'Gun v Gun'!$F$2:$F$500,"def")),"")</f>
        <v/>
      </c>
      <c r="V12" s="14">
        <f>IFERROR((SUMIFS('Antieco'!$C$2:$C$500,'Antieco'!$A$2:$A$500,$C$3,'Antieco'!$B$2:$B$500,C12,'Antieco'!$F$2:$F$500,"atk")+SUMIFS('Antieco'!$C$2:$C$500,'Antieco'!$A$2:$A$500,$C$3,'Antieco'!$B$2:$B$500,C12,'Antieco'!$F$2:$F$500,"def"))/(SUMIFS('Antieco'!$C$2:$C$500,'Antieco'!$A$2:$A$500,$C$3,'Antieco'!$B$2:$B$500,C12,'Antieco'!$F$2:$F$500,"atk")+SUMIFS('Antieco'!$D$2:$D$500,'Antieco'!$A$2:$A$500,$C$3,'Antieco'!$B$2:$B$500,C12,'Antieco'!$F$2:$F$500,"atk")+SUMIFS('Antieco'!$C$2:$C$500,'Antieco'!$A$2:$A$500,$C$3,'Antieco'!$B$2:$B$500,C12,'Antieco'!$F$2:$F$500,"def")+SUMIFS('Antieco'!$D$2:$D$500,'Antieco'!$A$2:$A$500,$C$3,'Antieco'!$B$2:$B$500,C12,'Antieco'!$F$2:$F$500,"def")),"")</f>
        <v/>
      </c>
      <c r="W12" s="14">
        <f>IFERROR(SUMIFS('Antieco'!$C$2:$C$500,'Antieco'!$A$2:$A$500,$C$3,'Antieco'!$B$2:$B$500,C12,'Antieco'!$F$2:$F$500,"atk")/(SUMIFS('Antieco'!$C$2:$C$500,'Antieco'!$A$2:$A$500,$C$3,'Antieco'!$B$2:$B$500,C12,'Antieco'!$F$2:$F$500,"atk")+SUMIFS('Antieco'!$D$2:$D$500,'Antieco'!$A$2:$A$500,$C$3,'Antieco'!$B$2:$B$500,C12,'Antieco'!$F$2:$F$500,"atk")),"")</f>
        <v/>
      </c>
      <c r="X12" s="14">
        <f>IFERROR(SUMIFS('Antieco'!$C$2:$C$500,'Antieco'!$A$2:$A$500,$C$3,'Antieco'!$B$2:$B$500,C12,'Antieco'!$F$2:$F$500,"def")/(SUMIFS('Antieco'!$C$2:$C$500,'Antieco'!$A$2:$A$500,$C$3,'Antieco'!$B$2:$B$500,C12,'Antieco'!$F$2:$F$500,"def")+SUMIFS('Antieco'!$D$2:$D$500,'Antieco'!$A$2:$A$500,$C$3,'Antieco'!$B$2:$B$500,C12,'Antieco'!$F$2:$F$500,"def")),"")</f>
        <v/>
      </c>
      <c r="Y12" s="14">
        <f>IFERROR((SUMIFS('ecos'!$C$2:$C$500,'ecos'!$A$2:$A$500,$C$3,'ecos'!$B$2:$B$500,C12,'ecos'!$F$2:$F$500,"atk")+SUMIFS('ecos'!$C$2:$C$500,'ecos'!$A$2:$A$500,$C$3,'ecos'!$B$2:$B$500,C12,'ecos'!$F$2:$F$500,"def"))/(SUMIFS('ecos'!$C$2:$C$500,'ecos'!$A$2:$A$500,$C$3,'ecos'!$B$2:$B$500,C12,'ecos'!$F$2:$F$500,"atk")+SUMIFS('ecos'!$D$2:$D$500,'ecos'!$A$2:$A$500,$C$3,'ecos'!$B$2:$B$500,C12,'ecos'!$F$2:$F$500,"atk")+SUMIFS('ecos'!$C$2:$C$500,'ecos'!$A$2:$A$500,$C$3,'ecos'!$B$2:$B$500,C12,'ecos'!$F$2:$F$500,"def")+SUMIFS('ecos'!$D$2:$D$500,'ecos'!$A$2:$A$500,$C$3,'ecos'!$B$2:$B$500,C12,'ecos'!$F$2:$F$500,"def")),"")</f>
        <v/>
      </c>
      <c r="Z12" s="14">
        <f>IFERROR(SUMIFS('ecos'!$C$2:$C$500,'ecos'!$A$2:$A$500,$C$3,'ecos'!$B$2:$B$500,C12,'ecos'!$F$2:$F$500,"atk")/(SUMIFS('ecos'!$C$2:$C$500,'ecos'!$A$2:$A$500,$C$3,'ecos'!$B$2:$B$500,C12,'ecos'!$F$2:$F$500,"atk")+SUMIFS('ecos'!$D$2:$D$500,'ecos'!$A$2:$A$500,$C$3,'ecos'!$B$2:$B$500,C12,'ecos'!$F$2:$F$500,"atk")),"")</f>
        <v/>
      </c>
      <c r="AA12" s="14">
        <f>IFERROR(SUMIFS('ecos'!$C$2:$C$500,'ecos'!$A$2:$A$500,$C$3,'ecos'!$B$2:$B$500,C12,'ecos'!$F$2:$F$500,"def")/(SUMIFS('ecos'!$C$2:$C$500,'ecos'!$A$2:$A$500,$C$3,'ecos'!$B$2:$B$500,C12,'ecos'!$F$2:$F$500,"def")+SUMIFS('ecos'!$D$2:$D$500,'ecos'!$A$2:$A$500,$C$3,'ecos'!$B$2:$B$500,C12,'ecos'!$F$2:$F$500,"def")),"")</f>
        <v/>
      </c>
      <c r="AB12" s="1" t="n"/>
      <c r="AC12" s="12" t="inlineStr">
        <is>
          <t>Pearl</t>
        </is>
      </c>
      <c r="AD12" s="13">
        <f>SUMIFS('Post Plants'!$E$2:$E$500,'Post Plants'!$A$2:$A$500,$C$3,'Post Plants'!$B$2:$B$500,C12,'Post Plants'!$D$2:$D$500,"atk")</f>
        <v/>
      </c>
      <c r="AE12" s="13">
        <f>SUMIFS(doubles!$M$2:$M$431,doubles!$C$2:$C$431,$C$3,doubles!$B$2:$B$431,C12)+SUMIFS(doubles!$N$2:$N$431,doubles!$C$2:$C$431,$C$3,doubles!$B$2:$B$431,C12)</f>
        <v/>
      </c>
      <c r="AF12" s="15">
        <f>IFERROR(AD12/J12,"")</f>
        <v/>
      </c>
      <c r="AG12" s="14">
        <f>IFERROR(SUMIFS('Post Plants'!$F$2:$F$500,'Post Plants'!$A$2:$A$500,$C$3,'Post Plants'!$B$2:$B$500,C12,'Post Plants'!$D$2:$D$500,"atk")/SUMIFS('Post Plants'!$E$2:$E$500,'Post Plants'!$A$2:$A$500,$C$3,'Post Plants'!$B$2:$B$500,C12,'Post Plants'!$D$2:$D$500,"atk"),"")</f>
        <v/>
      </c>
      <c r="AH12" s="13" t="inlineStr"/>
      <c r="AI12" s="13">
        <f>SUMIFS('Post Plants'!$E$2:$E$500,'Post Plants'!$A$2:$A$500,$C$3,'Post Plants'!$B$2:$B$500,C12,'Post Plants'!$D$2:$D$500,"def")</f>
        <v/>
      </c>
      <c r="AJ12" s="13">
        <f>SUMIFS(doubles!$O$2:$O$431,doubles!$C$2:$C$431,$C$3,doubles!$B$2:$B$431,C12)+SUMIFS(doubles!$P$2:$P$431,doubles!$C$2:$C$431,$C$3,doubles!$B$2:$B$431,C12)</f>
        <v/>
      </c>
      <c r="AK12" s="15">
        <f>IFERROR(AI12/J12,"")</f>
        <v/>
      </c>
      <c r="AL12" s="14">
        <f>IFERROR(SUMIFS('Post Plants'!$F$2:$F$500,'Post Plants'!$A$2:$A$500,$C$3,'Post Plants'!$B$2:$B$500,C12,'Post Plants'!$D$2:$D$500,"def")/SUMIFS('Post Plants'!$E$2:$E$500,'Post Plants'!$A$2:$A$500,$C$3,'Post Plants'!$B$2:$B$500,C12,'Post Plants'!$D$2:$D$500,"def"),"")</f>
        <v/>
      </c>
      <c r="AM12" s="13" t="inlineStr"/>
      <c r="AN12" s="1" t="n"/>
      <c r="AO12" s="1" t="n"/>
      <c r="AP12" s="1" t="n"/>
      <c r="AQ12" s="1" t="n"/>
    </row>
    <row r="13">
      <c r="A13" s="1" t="n"/>
      <c r="B13" s="1" t="n"/>
      <c r="C13" s="8" t="inlineStr">
        <is>
          <t>Split</t>
        </is>
      </c>
      <c r="D13" s="8">
        <f>IFERROR(INDEX(doubles!$E$2:$E$431,MATCH(C13&amp;"_"&amp;$C$3,doubles!$S$2:$S$431&amp;"_"&amp;doubles!$C$2:$C$431,0)),"")</f>
        <v/>
      </c>
      <c r="E13" s="5" t="n"/>
      <c r="F13" s="5" t="n"/>
      <c r="G13" s="5" t="n"/>
      <c r="H13" s="6" t="n"/>
      <c r="I13" s="9">
        <f>IFERROR(COUNTIFS(doubles!$C$2:$C$431,$C$3,doubles!$B$2:$B$431,C13,doubles!$E$2:$E$431,D13),"")</f>
        <v/>
      </c>
      <c r="J13" s="9">
        <f>COUNTIFS(doubles!$C$2:$C$431,$C$3,doubles!$B$2:$B$431,C13)</f>
        <v/>
      </c>
      <c r="K13" s="9">
        <f>COUNTIFS(doubles!$C$2:$C$431,$C$3,doubles!$B$2:$B$431,C13,doubles!$R$2:$R$431,$C$3)</f>
        <v/>
      </c>
      <c r="L13" s="9">
        <f>J13-K13</f>
        <v/>
      </c>
      <c r="M13" s="10">
        <f>IFERROR((SUMIFS(doubles!$M$2:$M$431,doubles!$C$2:$C$431,$C$3,doubles!$B$2:$B$431,C13)+SUMIFS(doubles!$O$2:$O$431,doubles!$C$2:$C$431,$C$3,doubles!$B$2:$B$431,C13))/(SUMIFS(doubles!$M$2:$M$431,doubles!$C$2:$C$431,$C$3,doubles!$B$2:$B$431,C13)+SUMIFS(doubles!$N$2:$N$431,doubles!$C$2:$C$431,$C$3,doubles!$B$2:$B$431,C13)+SUMIFS(doubles!$O$2:$O$431,doubles!$C$2:$C$431,$C$3,doubles!$B$2:$B$431,C13)+SUMIFS(doubles!$P$2:$P$431,doubles!$C$2:$C$431,$C$3,doubles!$B$2:$B$431,C13)),"")</f>
        <v/>
      </c>
      <c r="N13" s="10">
        <f>IFERROR(SUMIFS(doubles!$M$2:$M$431,doubles!$C$2:$C$431,$C$3,doubles!$B$2:$B$431,C13)/(SUMIFS(doubles!$M$2:$M$431,doubles!$C$2:$C$431,$C$3,doubles!$B$2:$B$431,C13)+SUMIFS(doubles!$N$2:$N$431,doubles!$C$2:$C$431,$C$3,doubles!$B$2:$B$431,C13)),"")</f>
        <v/>
      </c>
      <c r="O13" s="10">
        <f>IFERROR(SUMIFS(doubles!$O$2:$O$431,doubles!$C$2:$C$431,$C$3,doubles!$B$2:$B$431,C13)/(SUMIFS(doubles!$O$2:$O$431,doubles!$C$2:$C$431,$C$3,doubles!$B$2:$B$431,C13)+SUMIFS(doubles!$P$2:$P$431,doubles!$C$2:$C$431,$C$3,doubles!$B$2:$B$431,C13)),"")</f>
        <v/>
      </c>
      <c r="P13" s="10">
        <f>IFERROR((SUMIFS(doubles!$K$2:$K$431,doubles!$C$2:$C$431,$C$3,doubles!$B$2:$B$431,C13)+SUMIFS(doubles!$L$2:$L$431,doubles!$C$2:$C$431,$C$3,doubles!$B$2:$B$431,C13))/(2*COUNTIFS(doubles!$C$2:$C$431,$C$3,doubles!$B$2:$B$431,C13)),"")</f>
        <v/>
      </c>
      <c r="Q13" s="10">
        <f>IFERROR(SUMIFS(doubles!$K$2:$K$431,doubles!$C$2:$C$431,$C$3,doubles!$B$2:$B$431,C13)/COUNTIFS(doubles!$C$2:$C$431,$C$3,doubles!$B$2:$B$431,C13),"")</f>
        <v/>
      </c>
      <c r="R13" s="10">
        <f>IFERROR(SUMIFS(doubles!$L$2:$L$431,doubles!$C$2:$C$431,$C$3,doubles!$B$2:$B$431,C13)/COUNTIFS(doubles!$C$2:$C$431,$C$3,doubles!$B$2:$B$431,C13),"")</f>
        <v/>
      </c>
      <c r="S13" s="10">
        <f>IFERROR((SUMIFS('Gun v Gun'!$C$2:$C$500,'Gun v Gun'!$A$2:$A$500,$C$3,'Gun v Gun'!$B$2:$B$500,C13,'Gun v Gun'!$F$2:$F$500,"atk")+SUMIFS('Gun v Gun'!$C$2:$C$500,'Gun v Gun'!$A$2:$A$500,$C$3,'Gun v Gun'!$B$2:$B$500,C13,'Gun v Gun'!$F$2:$F$500,"def"))/(SUMIFS('Gun v Gun'!$C$2:$C$500,'Gun v Gun'!$A$2:$A$500,$C$3,'Gun v Gun'!$B$2:$B$500,C13,'Gun v Gun'!$F$2:$F$500,"atk")+SUMIFS('Gun v Gun'!$D$2:$D$500,'Gun v Gun'!$A$2:$A$500,$C$3,'Gun v Gun'!$B$2:$B$500,C13,'Gun v Gun'!$F$2:$F$500,"atk")+SUMIFS('Gun v Gun'!$C$2:$C$500,'Gun v Gun'!$A$2:$A$500,$C$3,'Gun v Gun'!$B$2:$B$500,C13,'Gun v Gun'!$F$2:$F$500,"def")+SUMIFS('Gun v Gun'!$D$2:$D$500,'Gun v Gun'!$A$2:$A$500,$C$3,'Gun v Gun'!$B$2:$B$500,C13,'Gun v Gun'!$F$2:$F$500,"def")),"")</f>
        <v/>
      </c>
      <c r="T13" s="10">
        <f>IFERROR(SUMIFS('Gun v Gun'!$C$2:$C$500,'Gun v Gun'!$A$2:$A$500,$C$3,'Gun v Gun'!$B$2:$B$500,C13,'Gun v Gun'!$F$2:$F$500,"atk")/(SUMIFS('Gun v Gun'!$C$2:$C$500,'Gun v Gun'!$A$2:$A$500,$C$3,'Gun v Gun'!$B$2:$B$500,C13,'Gun v Gun'!$F$2:$F$500,"atk")+SUMIFS('Gun v Gun'!$D$2:$D$500,'Gun v Gun'!$A$2:$A$500,$C$3,'Gun v Gun'!$B$2:$B$500,C13,'Gun v Gun'!$F$2:$F$500,"atk")),"")</f>
        <v/>
      </c>
      <c r="U13" s="10">
        <f>IFERROR(SUMIFS('Gun v Gun'!$C$2:$C$500,'Gun v Gun'!$A$2:$A$500,$C$3,'Gun v Gun'!$B$2:$B$500,C13,'Gun v Gun'!$F$2:$F$500,"def")/(SUMIFS('Gun v Gun'!$C$2:$C$500,'Gun v Gun'!$A$2:$A$500,$C$3,'Gun v Gun'!$B$2:$B$500,C13,'Gun v Gun'!$F$2:$F$500,"def")+SUMIFS('Gun v Gun'!$D$2:$D$500,'Gun v Gun'!$A$2:$A$500,$C$3,'Gun v Gun'!$B$2:$B$500,C13,'Gun v Gun'!$F$2:$F$500,"def")),"")</f>
        <v/>
      </c>
      <c r="V13" s="10">
        <f>IFERROR((SUMIFS('Antieco'!$C$2:$C$500,'Antieco'!$A$2:$A$500,$C$3,'Antieco'!$B$2:$B$500,C13,'Antieco'!$F$2:$F$500,"atk")+SUMIFS('Antieco'!$C$2:$C$500,'Antieco'!$A$2:$A$500,$C$3,'Antieco'!$B$2:$B$500,C13,'Antieco'!$F$2:$F$500,"def"))/(SUMIFS('Antieco'!$C$2:$C$500,'Antieco'!$A$2:$A$500,$C$3,'Antieco'!$B$2:$B$500,C13,'Antieco'!$F$2:$F$500,"atk")+SUMIFS('Antieco'!$D$2:$D$500,'Antieco'!$A$2:$A$500,$C$3,'Antieco'!$B$2:$B$500,C13,'Antieco'!$F$2:$F$500,"atk")+SUMIFS('Antieco'!$C$2:$C$500,'Antieco'!$A$2:$A$500,$C$3,'Antieco'!$B$2:$B$500,C13,'Antieco'!$F$2:$F$500,"def")+SUMIFS('Antieco'!$D$2:$D$500,'Antieco'!$A$2:$A$500,$C$3,'Antieco'!$B$2:$B$500,C13,'Antieco'!$F$2:$F$500,"def")),"")</f>
        <v/>
      </c>
      <c r="W13" s="10">
        <f>IFERROR(SUMIFS('Antieco'!$C$2:$C$500,'Antieco'!$A$2:$A$500,$C$3,'Antieco'!$B$2:$B$500,C13,'Antieco'!$F$2:$F$500,"atk")/(SUMIFS('Antieco'!$C$2:$C$500,'Antieco'!$A$2:$A$500,$C$3,'Antieco'!$B$2:$B$500,C13,'Antieco'!$F$2:$F$500,"atk")+SUMIFS('Antieco'!$D$2:$D$500,'Antieco'!$A$2:$A$500,$C$3,'Antieco'!$B$2:$B$500,C13,'Antieco'!$F$2:$F$500,"atk")),"")</f>
        <v/>
      </c>
      <c r="X13" s="10">
        <f>IFERROR(SUMIFS('Antieco'!$C$2:$C$500,'Antieco'!$A$2:$A$500,$C$3,'Antieco'!$B$2:$B$500,C13,'Antieco'!$F$2:$F$500,"def")/(SUMIFS('Antieco'!$C$2:$C$500,'Antieco'!$A$2:$A$500,$C$3,'Antieco'!$B$2:$B$500,C13,'Antieco'!$F$2:$F$500,"def")+SUMIFS('Antieco'!$D$2:$D$500,'Antieco'!$A$2:$A$500,$C$3,'Antieco'!$B$2:$B$500,C13,'Antieco'!$F$2:$F$500,"def")),"")</f>
        <v/>
      </c>
      <c r="Y13" s="10">
        <f>IFERROR((SUMIFS('ecos'!$C$2:$C$500,'ecos'!$A$2:$A$500,$C$3,'ecos'!$B$2:$B$500,C13,'ecos'!$F$2:$F$500,"atk")+SUMIFS('ecos'!$C$2:$C$500,'ecos'!$A$2:$A$500,$C$3,'ecos'!$B$2:$B$500,C13,'ecos'!$F$2:$F$500,"def"))/(SUMIFS('ecos'!$C$2:$C$500,'ecos'!$A$2:$A$500,$C$3,'ecos'!$B$2:$B$500,C13,'ecos'!$F$2:$F$500,"atk")+SUMIFS('ecos'!$D$2:$D$500,'ecos'!$A$2:$A$500,$C$3,'ecos'!$B$2:$B$500,C13,'ecos'!$F$2:$F$500,"atk")+SUMIFS('ecos'!$C$2:$C$500,'ecos'!$A$2:$A$500,$C$3,'ecos'!$B$2:$B$500,C13,'ecos'!$F$2:$F$500,"def")+SUMIFS('ecos'!$D$2:$D$500,'ecos'!$A$2:$A$500,$C$3,'ecos'!$B$2:$B$500,C13,'ecos'!$F$2:$F$500,"def")),"")</f>
        <v/>
      </c>
      <c r="Z13" s="10">
        <f>IFERROR(SUMIFS('ecos'!$C$2:$C$500,'ecos'!$A$2:$A$500,$C$3,'ecos'!$B$2:$B$500,C13,'ecos'!$F$2:$F$500,"atk")/(SUMIFS('ecos'!$C$2:$C$500,'ecos'!$A$2:$A$500,$C$3,'ecos'!$B$2:$B$500,C13,'ecos'!$F$2:$F$500,"atk")+SUMIFS('ecos'!$D$2:$D$500,'ecos'!$A$2:$A$500,$C$3,'ecos'!$B$2:$B$500,C13,'ecos'!$F$2:$F$500,"atk")),"")</f>
        <v/>
      </c>
      <c r="AA13" s="10">
        <f>IFERROR(SUMIFS('ecos'!$C$2:$C$500,'ecos'!$A$2:$A$500,$C$3,'ecos'!$B$2:$B$500,C13,'ecos'!$F$2:$F$500,"def")/(SUMIFS('ecos'!$C$2:$C$500,'ecos'!$A$2:$A$500,$C$3,'ecos'!$B$2:$B$500,C13,'ecos'!$F$2:$F$500,"def")+SUMIFS('ecos'!$D$2:$D$500,'ecos'!$A$2:$A$500,$C$3,'ecos'!$B$2:$B$500,C13,'ecos'!$F$2:$F$500,"def")),"")</f>
        <v/>
      </c>
      <c r="AB13" s="1" t="n"/>
      <c r="AC13" s="8" t="inlineStr">
        <is>
          <t>Split</t>
        </is>
      </c>
      <c r="AD13" s="9">
        <f>SUMIFS('Post Plants'!$E$2:$E$500,'Post Plants'!$A$2:$A$500,$C$3,'Post Plants'!$B$2:$B$500,C13,'Post Plants'!$D$2:$D$500,"atk")</f>
        <v/>
      </c>
      <c r="AE13" s="9">
        <f>SUMIFS(doubles!$M$2:$M$431,doubles!$C$2:$C$431,$C$3,doubles!$B$2:$B$431,C13)+SUMIFS(doubles!$N$2:$N$431,doubles!$C$2:$C$431,$C$3,doubles!$B$2:$B$431,C13)</f>
        <v/>
      </c>
      <c r="AF13" s="11">
        <f>IFERROR(AD13/J13,"")</f>
        <v/>
      </c>
      <c r="AG13" s="10">
        <f>IFERROR(SUMIFS('Post Plants'!$F$2:$F$500,'Post Plants'!$A$2:$A$500,$C$3,'Post Plants'!$B$2:$B$500,C13,'Post Plants'!$D$2:$D$500,"atk")/SUMIFS('Post Plants'!$E$2:$E$500,'Post Plants'!$A$2:$A$500,$C$3,'Post Plants'!$B$2:$B$500,C13,'Post Plants'!$D$2:$D$500,"atk"),"")</f>
        <v/>
      </c>
      <c r="AH13" s="9" t="inlineStr"/>
      <c r="AI13" s="9">
        <f>SUMIFS('Post Plants'!$E$2:$E$500,'Post Plants'!$A$2:$A$500,$C$3,'Post Plants'!$B$2:$B$500,C13,'Post Plants'!$D$2:$D$500,"def")</f>
        <v/>
      </c>
      <c r="AJ13" s="9">
        <f>SUMIFS(doubles!$O$2:$O$431,doubles!$C$2:$C$431,$C$3,doubles!$B$2:$B$431,C13)+SUMIFS(doubles!$P$2:$P$431,doubles!$C$2:$C$431,$C$3,doubles!$B$2:$B$431,C13)</f>
        <v/>
      </c>
      <c r="AK13" s="11">
        <f>IFERROR(AI13/J13,"")</f>
        <v/>
      </c>
      <c r="AL13" s="10">
        <f>IFERROR(SUMIFS('Post Plants'!$F$2:$F$500,'Post Plants'!$A$2:$A$500,$C$3,'Post Plants'!$B$2:$B$500,C13,'Post Plants'!$D$2:$D$500,"def")/SUMIFS('Post Plants'!$E$2:$E$500,'Post Plants'!$A$2:$A$500,$C$3,'Post Plants'!$B$2:$B$500,C13,'Post Plants'!$D$2:$D$500,"def"),"")</f>
        <v/>
      </c>
      <c r="AM13" s="9" t="inlineStr"/>
      <c r="AN13" s="1" t="n"/>
      <c r="AO13" s="1" t="n"/>
      <c r="AP13" s="1" t="n"/>
      <c r="AQ13" s="1" t="n"/>
    </row>
    <row r="14">
      <c r="A14" s="1" t="n"/>
      <c r="B14" s="1" t="n"/>
      <c r="C14" s="16" t="inlineStr">
        <is>
          <t>All Maps</t>
        </is>
      </c>
      <c r="D14" s="5" t="n"/>
      <c r="E14" s="5" t="n"/>
      <c r="F14" s="5" t="n"/>
      <c r="G14" s="5" t="n"/>
      <c r="H14" s="6" t="n"/>
      <c r="I14" s="1" t="n"/>
      <c r="J14" s="7">
        <f>COUNTIFS(doubles!$C$2:$C$431,$C$3)</f>
        <v/>
      </c>
      <c r="K14" s="7">
        <f>COUNTIFS(doubles!$C$2:$C$431,$C$3,doubles!$R$2:$R$431,$C$3)</f>
        <v/>
      </c>
      <c r="L14" s="7">
        <f>J14-K14</f>
        <v/>
      </c>
      <c r="M14" s="17">
        <f>IFERROR((SUMIFS(doubles!$M$2:$M$431,doubles!$C$2:$C$431,$C$3)+SUMIFS(doubles!$O$2:$O$431,doubles!$C$2:$C$431,$C$3))/(SUMIFS(doubles!$M$2:$M$431,doubles!$C$2:$C$431,$C$3)+SUMIFS(doubles!$N$2:$N$431,doubles!$C$2:$C$431,$C$3)+SUMIFS(doubles!$O$2:$O$431,doubles!$C$2:$C$431,$C$3)+SUMIFS(doubles!$P$2:$P$431,doubles!$C$2:$C$431,$C$3)),"")</f>
        <v/>
      </c>
      <c r="N14" s="17">
        <f>IFERROR(SUMIFS(doubles!$M$2:$M$431,doubles!$C$2:$C$431,$C$3)/(SUMIFS(doubles!$M$2:$M$431,doubles!$C$2:$C$431,$C$3)+SUMIFS(doubles!$N$2:$N$431,doubles!$C$2:$C$431,$C$3)),"")</f>
        <v/>
      </c>
      <c r="O14" s="17">
        <f>IFERROR(SUMIFS(doubles!$O$2:$O$431,doubles!$C$2:$C$431,$C$3)/(SUMIFS(doubles!$O$2:$O$431,doubles!$C$2:$C$431,$C$3)+SUMIFS(doubles!$P$2:$P$431,doubles!$C$2:$C$431,$C$3)),"")</f>
        <v/>
      </c>
      <c r="P14" s="17">
        <f>IFERROR((SUMIFS(doubles!$K$2:$K$431,doubles!$C$2:$C$431,$C$3)+SUMIFS(doubles!$L$2:$L$431,doubles!$C$2:$C$431,$C$3))/(2*COUNTIFS(doubles!$C$2:$C$431,$C$3)),"")</f>
        <v/>
      </c>
      <c r="Q14" s="17">
        <f>IFERROR(SUMIFS(doubles!$K$2:$K$431,doubles!$C$2:$C$431,$C$3)/COUNTIFS(doubles!$C$2:$C$431,$C$3),"")</f>
        <v/>
      </c>
      <c r="R14" s="17">
        <f>IFERROR(SUMIFS(doubles!$L$2:$L$431,doubles!$C$2:$C$431,$C$3)/COUNTIFS(doubles!$C$2:$C$431,$C$3),"")</f>
        <v/>
      </c>
      <c r="S14" s="17">
        <f>IFERROR((SUMIFS('Gun v Gun'!$C$2:$C$500,'Gun v Gun'!$A$2:$A$500,$C$3,'Gun v Gun'!$F$2:$F$500,"atk")+SUMIFS('Gun v Gun'!$C$2:$C$500,'Gun v Gun'!$A$2:$A$500,$C$3,'Gun v Gun'!$F$2:$F$500,"def"))/(SUMIFS('Gun v Gun'!$C$2:$C$500,'Gun v Gun'!$A$2:$A$500,$C$3,'Gun v Gun'!$F$2:$F$500,"atk")+SUMIFS('Gun v Gun'!$D$2:$D$500,'Gun v Gun'!$A$2:$A$500,$C$3,'Gun v Gun'!$F$2:$F$500,"atk")+SUMIFS('Gun v Gun'!$C$2:$C$500,'Gun v Gun'!$A$2:$A$500,$C$3,'Gun v Gun'!$F$2:$F$500,"def")+SUMIFS('Gun v Gun'!$D$2:$D$500,'Gun v Gun'!$A$2:$A$500,$C$3,'Gun v Gun'!$F$2:$F$500,"def")),"")</f>
        <v/>
      </c>
      <c r="T14" s="17">
        <f>IFERROR(SUMIFS('Gun v Gun'!$C$2:$C$500,'Gun v Gun'!$A$2:$A$500,$C$3,'Gun v Gun'!$F$2:$F$500,"atk")/(SUMIFS('Gun v Gun'!$C$2:$C$500,'Gun v Gun'!$A$2:$A$500,$C$3,'Gun v Gun'!$F$2:$F$500,"atk")+SUMIFS('Gun v Gun'!$D$2:$D$500,'Gun v Gun'!$A$2:$A$500,$C$3,'Gun v Gun'!$F$2:$F$500,"atk")),"")</f>
        <v/>
      </c>
      <c r="U14" s="17">
        <f>IFERROR(SUMIFS('Gun v Gun'!$C$2:$C$500,'Gun v Gun'!$A$2:$A$500,$C$3,'Gun v Gun'!$F$2:$F$500,"def")/(SUMIFS('Gun v Gun'!$C$2:$C$500,'Gun v Gun'!$A$2:$A$500,$C$3,'Gun v Gun'!$F$2:$F$500,"def")+SUMIFS('Gun v Gun'!$D$2:$D$500,'Gun v Gun'!$A$2:$A$500,$C$3,'Gun v Gun'!$F$2:$F$500,"def")),"")</f>
        <v/>
      </c>
      <c r="V14" s="17">
        <f>IFERROR((SUMIFS('Antieco'!$C$2:$C$500,'Antieco'!$A$2:$A$500,$C$3,'Antieco'!$F$2:$F$500,"atk")+SUMIFS('Antieco'!$C$2:$C$500,'Antieco'!$A$2:$A$500,$C$3,'Antieco'!$F$2:$F$500,"def"))/(SUMIFS('Antieco'!$C$2:$C$500,'Antieco'!$A$2:$A$500,$C$3,'Antieco'!$F$2:$F$500,"atk")+SUMIFS('Antieco'!$D$2:$D$500,'Antieco'!$A$2:$A$500,$C$3,'Antieco'!$F$2:$F$500,"atk")+SUMIFS('Antieco'!$C$2:$C$500,'Antieco'!$A$2:$A$500,$C$3,'Antieco'!$F$2:$F$500,"def")+SUMIFS('Antieco'!$D$2:$D$500,'Antieco'!$A$2:$A$500,$C$3,'Antieco'!$F$2:$F$500,"def")),"")</f>
        <v/>
      </c>
      <c r="W14" s="17">
        <f>IFERROR(SUMIFS('Antieco'!$C$2:$C$500,'Antieco'!$A$2:$A$500,$C$3,'Antieco'!$F$2:$F$500,"atk")/(SUMIFS('Antieco'!$C$2:$C$500,'Antieco'!$A$2:$A$500,$C$3,'Antieco'!$F$2:$F$500,"atk")+SUMIFS('Antieco'!$D$2:$D$500,'Antieco'!$A$2:$A$500,$C$3,'Antieco'!$F$2:$F$500,"atk")),"")</f>
        <v/>
      </c>
      <c r="X14" s="17">
        <f>IFERROR(SUMIFS('Antieco'!$C$2:$C$500,'Antieco'!$A$2:$A$500,$C$3,'Antieco'!$F$2:$F$500,"def")/(SUMIFS('Antieco'!$C$2:$C$500,'Antieco'!$A$2:$A$500,$C$3,'Antieco'!$F$2:$F$500,"def")+SUMIFS('Antieco'!$D$2:$D$500,'Antieco'!$A$2:$A$500,$C$3,'Antieco'!$F$2:$F$500,"def")),"")</f>
        <v/>
      </c>
      <c r="Y14" s="17">
        <f>IFERROR((SUMIFS('ecos'!$C$2:$C$500,'ecos'!$A$2:$A$500,$C$3,'ecos'!$F$2:$F$500,"atk")+SUMIFS('ecos'!$C$2:$C$500,'ecos'!$A$2:$A$500,$C$3,'ecos'!$F$2:$F$500,"def"))/(SUMIFS('ecos'!$C$2:$C$500,'ecos'!$A$2:$A$500,$C$3,'ecos'!$F$2:$F$500,"atk")+SUMIFS('ecos'!$D$2:$D$500,'ecos'!$A$2:$A$500,$C$3,'ecos'!$F$2:$F$500,"atk")+SUMIFS('ecos'!$C$2:$C$500,'ecos'!$A$2:$A$500,$C$3,'ecos'!$F$2:$F$500,"def")+SUMIFS('ecos'!$D$2:$D$500,'ecos'!$A$2:$A$500,$C$3,'ecos'!$F$2:$F$500,"def")),"")</f>
        <v/>
      </c>
      <c r="Z14" s="17">
        <f>IFERROR(SUMIFS('ecos'!$C$2:$C$500,'ecos'!$A$2:$A$500,$C$3,'ecos'!$F$2:$F$500,"atk")/(SUMIFS('ecos'!$C$2:$C$500,'ecos'!$A$2:$A$500,$C$3,'ecos'!$F$2:$F$500,"atk")+SUMIFS('ecos'!$D$2:$D$500,'ecos'!$A$2:$A$500,$C$3,'ecos'!$F$2:$F$500,"atk")),"")</f>
        <v/>
      </c>
      <c r="AA14" s="17">
        <f>IFERROR(SUMIFS('ecos'!$C$2:$C$500,'ecos'!$A$2:$A$500,$C$3,'ecos'!$F$2:$F$500,"def")/(SUMIFS('ecos'!$C$2:$C$500,'ecos'!$A$2:$A$500,$C$3,'ecos'!$F$2:$F$500,"def")+SUMIFS('ecos'!$D$2:$D$500,'ecos'!$A$2:$A$500,$C$3,'ecos'!$F$2:$F$500,"def")),"")</f>
        <v/>
      </c>
      <c r="AB14" s="1" t="n"/>
      <c r="AC14" s="16" t="inlineStr">
        <is>
          <t>All Maps</t>
        </is>
      </c>
      <c r="AD14" s="7">
        <f>SUMIFS('Post Plants'!$E$2:$E$500,'Post Plants'!$A$2:$A$500,$C$3,'Post Plants'!$D$2:$D$500,"atk")</f>
        <v/>
      </c>
      <c r="AE14" s="7">
        <f>SUMIFS(doubles!$M$2:$M$431,doubles!$C$2:$C$431,$C$3)+SUMIFS(doubles!$N$2:$N$431,doubles!$C$2:$C$431,$C$3)</f>
        <v/>
      </c>
      <c r="AF14" s="18">
        <f>IFERROR(AD14/J14,"")</f>
        <v/>
      </c>
      <c r="AG14" s="17">
        <f>IFERROR(SUMIFS('Post Plants'!$F$2:$F$500,'Post Plants'!$A$2:$A$500,$C$3,'Post Plants'!$D$2:$D$500,"atk")/SUMIFS('Post Plants'!$E$2:$E$500,'Post Plants'!$A$2:$A$500,$C$3,'Post Plants'!$D$2:$D$500,"atk"),"")</f>
        <v/>
      </c>
      <c r="AH14" s="1" t="n"/>
      <c r="AI14" s="7">
        <f>SUMIFS('Post Plants'!$E$2:$E$500,'Post Plants'!$A$2:$A$500,$C$3,'Post Plants'!$D$2:$D$500,"def")</f>
        <v/>
      </c>
      <c r="AJ14" s="7">
        <f>SUMIFS(doubles!$O$2:$O$431,doubles!$C$2:$C$431,$C$3)+SUMIFS(doubles!$P$2:$P$431,doubles!$C$2:$C$431,$C$3)</f>
        <v/>
      </c>
      <c r="AK14" s="18">
        <f>IFERROR(AI14/J14,"")</f>
        <v/>
      </c>
      <c r="AL14" s="17">
        <f>IFERROR(SUMIFS('Post Plants'!$F$2:$F$500,'Post Plants'!$A$2:$A$500,$C$3,'Post Plants'!$D$2:$D$500,"def")/SUMIFS('Post Plants'!$E$2:$E$500,'Post Plants'!$A$2:$A$500,$C$3,'Post Plants'!$D$2:$D$500,"def"),"")</f>
        <v/>
      </c>
      <c r="AM14" s="1" t="n"/>
      <c r="AN14" s="1" t="n"/>
      <c r="AO14" s="1" t="n"/>
      <c r="AP14" s="1" t="n"/>
      <c r="A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</row>
    <row r="17">
      <c r="A17" s="1" t="n"/>
      <c r="B17" s="1" t="n"/>
      <c r="C17" s="19" t="inlineStr">
        <is>
          <t>Statistics Per Player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6" t="n"/>
      <c r="R17" s="1" t="n"/>
      <c r="S17" s="4" t="inlineStr">
        <is>
          <t>Team XvY</t>
        </is>
      </c>
      <c r="T17" s="5" t="n"/>
      <c r="U17" s="5" t="n"/>
      <c r="V17" s="5" t="n"/>
      <c r="W17" s="5" t="n"/>
      <c r="X17" s="6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</row>
    <row r="18">
      <c r="A18" s="1" t="n"/>
      <c r="B18" s="1" t="n"/>
      <c r="C18" s="7" t="inlineStr">
        <is>
          <t>Players</t>
        </is>
      </c>
      <c r="D18" s="7" t="inlineStr">
        <is>
          <t>Agents</t>
        </is>
      </c>
      <c r="E18" s="1" t="n"/>
      <c r="F18" s="1" t="n"/>
      <c r="G18" s="1" t="n"/>
      <c r="H18" s="1" t="n"/>
      <c r="I18" s="7" t="inlineStr">
        <is>
          <t>r</t>
        </is>
      </c>
      <c r="J18" s="7" t="inlineStr">
        <is>
          <t>K/D</t>
        </is>
      </c>
      <c r="K18" s="7" t="inlineStr">
        <is>
          <t>KA/D</t>
        </is>
      </c>
      <c r="L18" s="7" t="inlineStr">
        <is>
          <t>KAST</t>
        </is>
      </c>
      <c r="M18" s="7" t="inlineStr">
        <is>
          <t>fk/r</t>
        </is>
      </c>
      <c r="N18" s="7" t="inlineStr">
        <is>
          <t>fd/r</t>
        </is>
      </c>
      <c r="O18" s="7" t="inlineStr">
        <is>
          <t>fk/fd</t>
        </is>
      </c>
      <c r="P18" s="7" t="inlineStr">
        <is>
          <t>CL%</t>
        </is>
      </c>
      <c r="Q18" s="7" t="inlineStr">
        <is>
          <t>AWP%</t>
        </is>
      </c>
      <c r="R18" s="1" t="n"/>
      <c r="S18" s="7" t="inlineStr">
        <is>
          <t>X v Y</t>
        </is>
      </c>
      <c r="T18" s="7" t="inlineStr">
        <is>
          <t>5</t>
        </is>
      </c>
      <c r="U18" s="7" t="inlineStr">
        <is>
          <t>4</t>
        </is>
      </c>
      <c r="V18" s="7" t="inlineStr">
        <is>
          <t>3</t>
        </is>
      </c>
      <c r="W18" s="7" t="inlineStr">
        <is>
          <t>2</t>
        </is>
      </c>
      <c r="X18" s="7" t="inlineStr">
        <is>
          <t>1</t>
        </is>
      </c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</row>
    <row r="19">
      <c r="A19" s="1" t="n"/>
      <c r="B19" s="1" t="n"/>
      <c r="C19" s="8">
        <f>IFERROR(INDEX('Player Stats'!$B$2:$B$200,MATCH(LARGE(IF('Player Stats'!$A$2:$A$200=$C$3,'Player Stats'!$E$2:$E$200),1),IF('Player Stats'!$A$2:$A$200=$C$3,'Player Stats'!$E$2:$E$200),0)),"")</f>
        <v/>
      </c>
      <c r="D19" s="20" t="inlineStr"/>
      <c r="E19" s="5" t="n"/>
      <c r="F19" s="5" t="n"/>
      <c r="G19" s="5" t="n"/>
      <c r="H19" s="6" t="n"/>
      <c r="I19" s="9">
        <f>IFERROR(INDEX('Player Stats'!$D$2:$D$200,MATCH(C19,'Player Stats'!$B$2:$B$200,0)),"")</f>
        <v/>
      </c>
      <c r="J19" s="11">
        <f>IFERROR(INDEX('Player Stats'!$J$2:$J$200,MATCH(C19,'Player Stats'!$B$2:$B$200,0)),"")</f>
        <v/>
      </c>
      <c r="K19" s="11">
        <f>IFERROR(INDEX('Player Stats'!$K$2:$K$200,MATCH(C19,'Player Stats'!$B$2:$B$200,0)),"")</f>
        <v/>
      </c>
      <c r="L19" s="21">
        <f>IFERROR(INDEX('Player Stats'!$P$2:$P$200,MATCH(C19,'Player Stats'!$B$2:$B$200,0)),"")</f>
        <v/>
      </c>
      <c r="M19" s="11">
        <f>IFERROR(INDEX('Player Stats'!$H$2:$H$200,MATCH(C19,'Player Stats'!$B$2:$B$200,0))/INDEX('Player Stats'!$D$2:$D$200,MATCH(C19,'Player Stats'!$B$2:$B$200,0)),"")</f>
        <v/>
      </c>
      <c r="N19" s="11">
        <f>IFERROR(INDEX('Player Stats'!$I$2:$I$200,MATCH(C19,'Player Stats'!$B$2:$B$200,0))/INDEX('Player Stats'!$D$2:$D$200,MATCH(C19,'Player Stats'!$B$2:$B$200,0)),"")</f>
        <v/>
      </c>
      <c r="O19" s="21">
        <f>IFERROR(INDEX('Player Stats'!$L$2:$L$200,MATCH(C19,'Player Stats'!$B$2:$B$200,0)),"")</f>
        <v/>
      </c>
      <c r="P19" s="10">
        <f>IFERROR(INDEX('Player Stats'!$O$2:$O$200,MATCH(C19,'Player Stats'!$B$2:$B$200,0)),"")</f>
        <v/>
      </c>
      <c r="Q19" s="10">
        <f>IFERROR(INDEX('Player Stats'!$Q$2:$Q$200,MATCH(C19,'Player Stats'!$B$2:$B$200,0)),"")</f>
        <v/>
      </c>
      <c r="R19" s="1" t="n"/>
      <c r="S19" s="22" t="inlineStr">
        <is>
          <t>5</t>
        </is>
      </c>
      <c r="T19" s="10">
        <f>IFERROR(SUMIFS(XvY!$F$2:$F$500,XvY!$A$2:$A$500,$C$3,XvY!$B$2:$B$500,"5v5")/(SUMIFS(XvY!$F$2:$F$500,XvY!$A$2:$A$500,$C$3,XvY!$B$2:$B$500,"5v5")+SUMIFS(XvY!$G$2:$G$500,XvY!$A$2:$A$500,$C$3,XvY!$B$2:$B$500,"5v5")),"")</f>
        <v/>
      </c>
      <c r="U19" s="10">
        <f>IFERROR(SUMIFS(XvY!$F$2:$F$500,XvY!$A$2:$A$500,$C$3,XvY!$B$2:$B$500,"5v4")/(SUMIFS(XvY!$F$2:$F$500,XvY!$A$2:$A$500,$C$3,XvY!$B$2:$B$500,"5v4")+SUMIFS(XvY!$G$2:$G$500,XvY!$A$2:$A$500,$C$3,XvY!$B$2:$B$500,"5v4")),"")</f>
        <v/>
      </c>
      <c r="V19" s="10">
        <f>IFERROR(SUMIFS(XvY!$F$2:$F$500,XvY!$A$2:$A$500,$C$3,XvY!$B$2:$B$500,"5v3")/(SUMIFS(XvY!$F$2:$F$500,XvY!$A$2:$A$500,$C$3,XvY!$B$2:$B$500,"5v3")+SUMIFS(XvY!$G$2:$G$500,XvY!$A$2:$A$500,$C$3,XvY!$B$2:$B$500,"5v3")),"")</f>
        <v/>
      </c>
      <c r="W19" s="10">
        <f>IFERROR(SUMIFS(XvY!$F$2:$F$500,XvY!$A$2:$A$500,$C$3,XvY!$B$2:$B$500,"5v2")/(SUMIFS(XvY!$F$2:$F$500,XvY!$A$2:$A$500,$C$3,XvY!$B$2:$B$500,"5v2")+SUMIFS(XvY!$G$2:$G$500,XvY!$A$2:$A$500,$C$3,XvY!$B$2:$B$500,"5v2")),"")</f>
        <v/>
      </c>
      <c r="X19" s="10">
        <f>IFERROR(SUMIFS(XvY!$F$2:$F$500,XvY!$A$2:$A$500,$C$3,XvY!$B$2:$B$500,"5v1")/(SUMIFS(XvY!$F$2:$F$500,XvY!$A$2:$A$500,$C$3,XvY!$B$2:$B$500,"5v1")+SUMIFS(XvY!$G$2:$G$500,XvY!$A$2:$A$500,$C$3,XvY!$B$2:$B$500,"5v1")),"")</f>
        <v/>
      </c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</row>
    <row r="20">
      <c r="A20" s="1" t="n"/>
      <c r="B20" s="1" t="n"/>
      <c r="C20" s="12">
        <f>IFERROR(INDEX('Player Stats'!$B$2:$B$200,MATCH(LARGE(IF('Player Stats'!$A$2:$A$200=$C$3,'Player Stats'!$E$2:$E$200),2),IF('Player Stats'!$A$2:$A$200=$C$3,'Player Stats'!$E$2:$E$200),0)),"")</f>
        <v/>
      </c>
      <c r="D20" s="23" t="inlineStr"/>
      <c r="E20" s="5" t="n"/>
      <c r="F20" s="5" t="n"/>
      <c r="G20" s="5" t="n"/>
      <c r="H20" s="6" t="n"/>
      <c r="I20" s="13">
        <f>IFERROR(INDEX('Player Stats'!$D$2:$D$200,MATCH(C20,'Player Stats'!$B$2:$B$200,0)),"")</f>
        <v/>
      </c>
      <c r="J20" s="15">
        <f>IFERROR(INDEX('Player Stats'!$J$2:$J$200,MATCH(C20,'Player Stats'!$B$2:$B$200,0)),"")</f>
        <v/>
      </c>
      <c r="K20" s="15">
        <f>IFERROR(INDEX('Player Stats'!$K$2:$K$200,MATCH(C20,'Player Stats'!$B$2:$B$200,0)),"")</f>
        <v/>
      </c>
      <c r="L20" s="24">
        <f>IFERROR(INDEX('Player Stats'!$P$2:$P$200,MATCH(C20,'Player Stats'!$B$2:$B$200,0)),"")</f>
        <v/>
      </c>
      <c r="M20" s="15">
        <f>IFERROR(INDEX('Player Stats'!$H$2:$H$200,MATCH(C20,'Player Stats'!$B$2:$B$200,0))/INDEX('Player Stats'!$D$2:$D$200,MATCH(C20,'Player Stats'!$B$2:$B$200,0)),"")</f>
        <v/>
      </c>
      <c r="N20" s="15">
        <f>IFERROR(INDEX('Player Stats'!$I$2:$I$200,MATCH(C20,'Player Stats'!$B$2:$B$200,0))/INDEX('Player Stats'!$D$2:$D$200,MATCH(C20,'Player Stats'!$B$2:$B$200,0)),"")</f>
        <v/>
      </c>
      <c r="O20" s="24">
        <f>IFERROR(INDEX('Player Stats'!$L$2:$L$200,MATCH(C20,'Player Stats'!$B$2:$B$200,0)),"")</f>
        <v/>
      </c>
      <c r="P20" s="14">
        <f>IFERROR(INDEX('Player Stats'!$O$2:$O$200,MATCH(C20,'Player Stats'!$B$2:$B$200,0)),"")</f>
        <v/>
      </c>
      <c r="Q20" s="14">
        <f>IFERROR(INDEX('Player Stats'!$Q$2:$Q$200,MATCH(C20,'Player Stats'!$B$2:$B$200,0)),"")</f>
        <v/>
      </c>
      <c r="R20" s="1" t="n"/>
      <c r="S20" s="25" t="inlineStr">
        <is>
          <t>4</t>
        </is>
      </c>
      <c r="T20" s="14">
        <f>IFERROR(SUMIFS(XvY!$F$2:$F$500,XvY!$A$2:$A$500,$C$3,XvY!$B$2:$B$500,"4v5")/(SUMIFS(XvY!$F$2:$F$500,XvY!$A$2:$A$500,$C$3,XvY!$B$2:$B$500,"4v5")+SUMIFS(XvY!$G$2:$G$500,XvY!$A$2:$A$500,$C$3,XvY!$B$2:$B$500,"4v5")),"")</f>
        <v/>
      </c>
      <c r="U20" s="14">
        <f>IFERROR(SUMIFS(XvY!$F$2:$F$500,XvY!$A$2:$A$500,$C$3,XvY!$B$2:$B$500,"4v4")/(SUMIFS(XvY!$F$2:$F$500,XvY!$A$2:$A$500,$C$3,XvY!$B$2:$B$500,"4v4")+SUMIFS(XvY!$G$2:$G$500,XvY!$A$2:$A$500,$C$3,XvY!$B$2:$B$500,"4v4")),"")</f>
        <v/>
      </c>
      <c r="V20" s="14">
        <f>IFERROR(SUMIFS(XvY!$F$2:$F$500,XvY!$A$2:$A$500,$C$3,XvY!$B$2:$B$500,"4v3")/(SUMIFS(XvY!$F$2:$F$500,XvY!$A$2:$A$500,$C$3,XvY!$B$2:$B$500,"4v3")+SUMIFS(XvY!$G$2:$G$500,XvY!$A$2:$A$500,$C$3,XvY!$B$2:$B$500,"4v3")),"")</f>
        <v/>
      </c>
      <c r="W20" s="14">
        <f>IFERROR(SUMIFS(XvY!$F$2:$F$500,XvY!$A$2:$A$500,$C$3,XvY!$B$2:$B$500,"4v2")/(SUMIFS(XvY!$F$2:$F$500,XvY!$A$2:$A$500,$C$3,XvY!$B$2:$B$500,"4v2")+SUMIFS(XvY!$G$2:$G$500,XvY!$A$2:$A$500,$C$3,XvY!$B$2:$B$500,"4v2")),"")</f>
        <v/>
      </c>
      <c r="X20" s="14">
        <f>IFERROR(SUMIFS(XvY!$F$2:$F$500,XvY!$A$2:$A$500,$C$3,XvY!$B$2:$B$500,"4v1")/(SUMIFS(XvY!$F$2:$F$500,XvY!$A$2:$A$500,$C$3,XvY!$B$2:$B$500,"4v1")+SUMIFS(XvY!$G$2:$G$500,XvY!$A$2:$A$500,$C$3,XvY!$B$2:$B$500,"4v1")),"")</f>
        <v/>
      </c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</row>
    <row r="21">
      <c r="A21" s="1" t="n"/>
      <c r="B21" s="1" t="n"/>
      <c r="C21" s="8">
        <f>IFERROR(INDEX('Player Stats'!$B$2:$B$200,MATCH(LARGE(IF('Player Stats'!$A$2:$A$200=$C$3,'Player Stats'!$E$2:$E$200),3),IF('Player Stats'!$A$2:$A$200=$C$3,'Player Stats'!$E$2:$E$200),0)),"")</f>
        <v/>
      </c>
      <c r="D21" s="20" t="inlineStr"/>
      <c r="E21" s="5" t="n"/>
      <c r="F21" s="5" t="n"/>
      <c r="G21" s="5" t="n"/>
      <c r="H21" s="6" t="n"/>
      <c r="I21" s="9">
        <f>IFERROR(INDEX('Player Stats'!$D$2:$D$200,MATCH(C21,'Player Stats'!$B$2:$B$200,0)),"")</f>
        <v/>
      </c>
      <c r="J21" s="11">
        <f>IFERROR(INDEX('Player Stats'!$J$2:$J$200,MATCH(C21,'Player Stats'!$B$2:$B$200,0)),"")</f>
        <v/>
      </c>
      <c r="K21" s="11">
        <f>IFERROR(INDEX('Player Stats'!$K$2:$K$200,MATCH(C21,'Player Stats'!$B$2:$B$200,0)),"")</f>
        <v/>
      </c>
      <c r="L21" s="21">
        <f>IFERROR(INDEX('Player Stats'!$P$2:$P$200,MATCH(C21,'Player Stats'!$B$2:$B$200,0)),"")</f>
        <v/>
      </c>
      <c r="M21" s="11">
        <f>IFERROR(INDEX('Player Stats'!$H$2:$H$200,MATCH(C21,'Player Stats'!$B$2:$B$200,0))/INDEX('Player Stats'!$D$2:$D$200,MATCH(C21,'Player Stats'!$B$2:$B$200,0)),"")</f>
        <v/>
      </c>
      <c r="N21" s="11">
        <f>IFERROR(INDEX('Player Stats'!$I$2:$I$200,MATCH(C21,'Player Stats'!$B$2:$B$200,0))/INDEX('Player Stats'!$D$2:$D$200,MATCH(C21,'Player Stats'!$B$2:$B$200,0)),"")</f>
        <v/>
      </c>
      <c r="O21" s="21">
        <f>IFERROR(INDEX('Player Stats'!$L$2:$L$200,MATCH(C21,'Player Stats'!$B$2:$B$200,0)),"")</f>
        <v/>
      </c>
      <c r="P21" s="10">
        <f>IFERROR(INDEX('Player Stats'!$O$2:$O$200,MATCH(C21,'Player Stats'!$B$2:$B$200,0)),"")</f>
        <v/>
      </c>
      <c r="Q21" s="10">
        <f>IFERROR(INDEX('Player Stats'!$Q$2:$Q$200,MATCH(C21,'Player Stats'!$B$2:$B$200,0)),"")</f>
        <v/>
      </c>
      <c r="R21" s="1" t="n"/>
      <c r="S21" s="22" t="inlineStr">
        <is>
          <t>3</t>
        </is>
      </c>
      <c r="T21" s="10">
        <f>IFERROR(SUMIFS(XvY!$F$2:$F$500,XvY!$A$2:$A$500,$C$3,XvY!$B$2:$B$500,"3v5")/(SUMIFS(XvY!$F$2:$F$500,XvY!$A$2:$A$500,$C$3,XvY!$B$2:$B$500,"3v5")+SUMIFS(XvY!$G$2:$G$500,XvY!$A$2:$A$500,$C$3,XvY!$B$2:$B$500,"3v5")),"")</f>
        <v/>
      </c>
      <c r="U21" s="10">
        <f>IFERROR(SUMIFS(XvY!$F$2:$F$500,XvY!$A$2:$A$500,$C$3,XvY!$B$2:$B$500,"3v4")/(SUMIFS(XvY!$F$2:$F$500,XvY!$A$2:$A$500,$C$3,XvY!$B$2:$B$500,"3v4")+SUMIFS(XvY!$G$2:$G$500,XvY!$A$2:$A$500,$C$3,XvY!$B$2:$B$500,"3v4")),"")</f>
        <v/>
      </c>
      <c r="V21" s="10">
        <f>IFERROR(SUMIFS(XvY!$F$2:$F$500,XvY!$A$2:$A$500,$C$3,XvY!$B$2:$B$500,"3v3")/(SUMIFS(XvY!$F$2:$F$500,XvY!$A$2:$A$500,$C$3,XvY!$B$2:$B$500,"3v3")+SUMIFS(XvY!$G$2:$G$500,XvY!$A$2:$A$500,$C$3,XvY!$B$2:$B$500,"3v3")),"")</f>
        <v/>
      </c>
      <c r="W21" s="10">
        <f>IFERROR(SUMIFS(XvY!$F$2:$F$500,XvY!$A$2:$A$500,$C$3,XvY!$B$2:$B$500,"3v2")/(SUMIFS(XvY!$F$2:$F$500,XvY!$A$2:$A$500,$C$3,XvY!$B$2:$B$500,"3v2")+SUMIFS(XvY!$G$2:$G$500,XvY!$A$2:$A$500,$C$3,XvY!$B$2:$B$500,"3v2")),"")</f>
        <v/>
      </c>
      <c r="X21" s="10">
        <f>IFERROR(SUMIFS(XvY!$F$2:$F$500,XvY!$A$2:$A$500,$C$3,XvY!$B$2:$B$500,"3v1")/(SUMIFS(XvY!$F$2:$F$500,XvY!$A$2:$A$500,$C$3,XvY!$B$2:$B$500,"3v1")+SUMIFS(XvY!$G$2:$G$500,XvY!$A$2:$A$500,$C$3,XvY!$B$2:$B$500,"3v1")),"")</f>
        <v/>
      </c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</row>
    <row r="22">
      <c r="A22" s="1" t="n"/>
      <c r="B22" s="1" t="n"/>
      <c r="C22" s="12">
        <f>IFERROR(INDEX('Player Stats'!$B$2:$B$200,MATCH(LARGE(IF('Player Stats'!$A$2:$A$200=$C$3,'Player Stats'!$E$2:$E$200),4),IF('Player Stats'!$A$2:$A$200=$C$3,'Player Stats'!$E$2:$E$200),0)),"")</f>
        <v/>
      </c>
      <c r="D22" s="23" t="inlineStr"/>
      <c r="E22" s="5" t="n"/>
      <c r="F22" s="5" t="n"/>
      <c r="G22" s="5" t="n"/>
      <c r="H22" s="6" t="n"/>
      <c r="I22" s="13">
        <f>IFERROR(INDEX('Player Stats'!$D$2:$D$200,MATCH(C22,'Player Stats'!$B$2:$B$200,0)),"")</f>
        <v/>
      </c>
      <c r="J22" s="15">
        <f>IFERROR(INDEX('Player Stats'!$J$2:$J$200,MATCH(C22,'Player Stats'!$B$2:$B$200,0)),"")</f>
        <v/>
      </c>
      <c r="K22" s="15">
        <f>IFERROR(INDEX('Player Stats'!$K$2:$K$200,MATCH(C22,'Player Stats'!$B$2:$B$200,0)),"")</f>
        <v/>
      </c>
      <c r="L22" s="24">
        <f>IFERROR(INDEX('Player Stats'!$P$2:$P$200,MATCH(C22,'Player Stats'!$B$2:$B$200,0)),"")</f>
        <v/>
      </c>
      <c r="M22" s="15">
        <f>IFERROR(INDEX('Player Stats'!$H$2:$H$200,MATCH(C22,'Player Stats'!$B$2:$B$200,0))/INDEX('Player Stats'!$D$2:$D$200,MATCH(C22,'Player Stats'!$B$2:$B$200,0)),"")</f>
        <v/>
      </c>
      <c r="N22" s="15">
        <f>IFERROR(INDEX('Player Stats'!$I$2:$I$200,MATCH(C22,'Player Stats'!$B$2:$B$200,0))/INDEX('Player Stats'!$D$2:$D$200,MATCH(C22,'Player Stats'!$B$2:$B$200,0)),"")</f>
        <v/>
      </c>
      <c r="O22" s="24">
        <f>IFERROR(INDEX('Player Stats'!$L$2:$L$200,MATCH(C22,'Player Stats'!$B$2:$B$200,0)),"")</f>
        <v/>
      </c>
      <c r="P22" s="14">
        <f>IFERROR(INDEX('Player Stats'!$O$2:$O$200,MATCH(C22,'Player Stats'!$B$2:$B$200,0)),"")</f>
        <v/>
      </c>
      <c r="Q22" s="14">
        <f>IFERROR(INDEX('Player Stats'!$Q$2:$Q$200,MATCH(C22,'Player Stats'!$B$2:$B$200,0)),"")</f>
        <v/>
      </c>
      <c r="R22" s="1" t="n"/>
      <c r="S22" s="25" t="inlineStr">
        <is>
          <t>2</t>
        </is>
      </c>
      <c r="T22" s="14">
        <f>IFERROR(SUMIFS(XvY!$F$2:$F$500,XvY!$A$2:$A$500,$C$3,XvY!$B$2:$B$500,"2v5")/(SUMIFS(XvY!$F$2:$F$500,XvY!$A$2:$A$500,$C$3,XvY!$B$2:$B$500,"2v5")+SUMIFS(XvY!$G$2:$G$500,XvY!$A$2:$A$500,$C$3,XvY!$B$2:$B$500,"2v5")),"")</f>
        <v/>
      </c>
      <c r="U22" s="14">
        <f>IFERROR(SUMIFS(XvY!$F$2:$F$500,XvY!$A$2:$A$500,$C$3,XvY!$B$2:$B$500,"2v4")/(SUMIFS(XvY!$F$2:$F$500,XvY!$A$2:$A$500,$C$3,XvY!$B$2:$B$500,"2v4")+SUMIFS(XvY!$G$2:$G$500,XvY!$A$2:$A$500,$C$3,XvY!$B$2:$B$500,"2v4")),"")</f>
        <v/>
      </c>
      <c r="V22" s="14">
        <f>IFERROR(SUMIFS(XvY!$F$2:$F$500,XvY!$A$2:$A$500,$C$3,XvY!$B$2:$B$500,"2v3")/(SUMIFS(XvY!$F$2:$F$500,XvY!$A$2:$A$500,$C$3,XvY!$B$2:$B$500,"2v3")+SUMIFS(XvY!$G$2:$G$500,XvY!$A$2:$A$500,$C$3,XvY!$B$2:$B$500,"2v3")),"")</f>
        <v/>
      </c>
      <c r="W22" s="14">
        <f>IFERROR(SUMIFS(XvY!$F$2:$F$500,XvY!$A$2:$A$500,$C$3,XvY!$B$2:$B$500,"2v2")/(SUMIFS(XvY!$F$2:$F$500,XvY!$A$2:$A$500,$C$3,XvY!$B$2:$B$500,"2v2")+SUMIFS(XvY!$G$2:$G$500,XvY!$A$2:$A$500,$C$3,XvY!$B$2:$B$500,"2v2")),"")</f>
        <v/>
      </c>
      <c r="X22" s="14">
        <f>IFERROR(SUMIFS(XvY!$F$2:$F$500,XvY!$A$2:$A$500,$C$3,XvY!$B$2:$B$500,"2v1")/(SUMIFS(XvY!$F$2:$F$500,XvY!$A$2:$A$500,$C$3,XvY!$B$2:$B$500,"2v1")+SUMIFS(XvY!$G$2:$G$500,XvY!$A$2:$A$500,$C$3,XvY!$B$2:$B$500,"2v1")),"")</f>
        <v/>
      </c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</row>
    <row r="23">
      <c r="A23" s="1" t="n"/>
      <c r="B23" s="1" t="n"/>
      <c r="C23" s="8">
        <f>IFERROR(INDEX('Player Stats'!$B$2:$B$200,MATCH(LARGE(IF('Player Stats'!$A$2:$A$200=$C$3,'Player Stats'!$E$2:$E$200),5),IF('Player Stats'!$A$2:$A$200=$C$3,'Player Stats'!$E$2:$E$200),0)),"")</f>
        <v/>
      </c>
      <c r="D23" s="20" t="inlineStr"/>
      <c r="E23" s="5" t="n"/>
      <c r="F23" s="5" t="n"/>
      <c r="G23" s="5" t="n"/>
      <c r="H23" s="6" t="n"/>
      <c r="I23" s="9">
        <f>IFERROR(INDEX('Player Stats'!$D$2:$D$200,MATCH(C23,'Player Stats'!$B$2:$B$200,0)),"")</f>
        <v/>
      </c>
      <c r="J23" s="11">
        <f>IFERROR(INDEX('Player Stats'!$J$2:$J$200,MATCH(C23,'Player Stats'!$B$2:$B$200,0)),"")</f>
        <v/>
      </c>
      <c r="K23" s="11">
        <f>IFERROR(INDEX('Player Stats'!$K$2:$K$200,MATCH(C23,'Player Stats'!$B$2:$B$200,0)),"")</f>
        <v/>
      </c>
      <c r="L23" s="21">
        <f>IFERROR(INDEX('Player Stats'!$P$2:$P$200,MATCH(C23,'Player Stats'!$B$2:$B$200,0)),"")</f>
        <v/>
      </c>
      <c r="M23" s="11">
        <f>IFERROR(INDEX('Player Stats'!$H$2:$H$200,MATCH(C23,'Player Stats'!$B$2:$B$200,0))/INDEX('Player Stats'!$D$2:$D$200,MATCH(C23,'Player Stats'!$B$2:$B$200,0)),"")</f>
        <v/>
      </c>
      <c r="N23" s="11">
        <f>IFERROR(INDEX('Player Stats'!$I$2:$I$200,MATCH(C23,'Player Stats'!$B$2:$B$200,0))/INDEX('Player Stats'!$D$2:$D$200,MATCH(C23,'Player Stats'!$B$2:$B$200,0)),"")</f>
        <v/>
      </c>
      <c r="O23" s="21">
        <f>IFERROR(INDEX('Player Stats'!$L$2:$L$200,MATCH(C23,'Player Stats'!$B$2:$B$200,0)),"")</f>
        <v/>
      </c>
      <c r="P23" s="10">
        <f>IFERROR(INDEX('Player Stats'!$O$2:$O$200,MATCH(C23,'Player Stats'!$B$2:$B$200,0)),"")</f>
        <v/>
      </c>
      <c r="Q23" s="10">
        <f>IFERROR(INDEX('Player Stats'!$Q$2:$Q$200,MATCH(C23,'Player Stats'!$B$2:$B$200,0)),"")</f>
        <v/>
      </c>
      <c r="R23" s="1" t="n"/>
      <c r="S23" s="22" t="inlineStr">
        <is>
          <t>1</t>
        </is>
      </c>
      <c r="T23" s="10">
        <f>IFERROR(SUMIFS(XvY!$F$2:$F$500,XvY!$A$2:$A$500,$C$3,XvY!$B$2:$B$500,"1v5")/(SUMIFS(XvY!$F$2:$F$500,XvY!$A$2:$A$500,$C$3,XvY!$B$2:$B$500,"1v5")+SUMIFS(XvY!$G$2:$G$500,XvY!$A$2:$A$500,$C$3,XvY!$B$2:$B$500,"1v5")),"")</f>
        <v/>
      </c>
      <c r="U23" s="10">
        <f>IFERROR(SUMIFS(XvY!$F$2:$F$500,XvY!$A$2:$A$500,$C$3,XvY!$B$2:$B$500,"1v4")/(SUMIFS(XvY!$F$2:$F$500,XvY!$A$2:$A$500,$C$3,XvY!$B$2:$B$500,"1v4")+SUMIFS(XvY!$G$2:$G$500,XvY!$A$2:$A$500,$C$3,XvY!$B$2:$B$500,"1v4")),"")</f>
        <v/>
      </c>
      <c r="V23" s="10">
        <f>IFERROR(SUMIFS(XvY!$F$2:$F$500,XvY!$A$2:$A$500,$C$3,XvY!$B$2:$B$500,"1v3")/(SUMIFS(XvY!$F$2:$F$500,XvY!$A$2:$A$500,$C$3,XvY!$B$2:$B$500,"1v3")+SUMIFS(XvY!$G$2:$G$500,XvY!$A$2:$A$500,$C$3,XvY!$B$2:$B$500,"1v3")),"")</f>
        <v/>
      </c>
      <c r="W23" s="10">
        <f>IFERROR(SUMIFS(XvY!$F$2:$F$500,XvY!$A$2:$A$500,$C$3,XvY!$B$2:$B$500,"1v2")/(SUMIFS(XvY!$F$2:$F$500,XvY!$A$2:$A$500,$C$3,XvY!$B$2:$B$500,"1v2")+SUMIFS(XvY!$G$2:$G$500,XvY!$A$2:$A$500,$C$3,XvY!$B$2:$B$500,"1v2")),"")</f>
        <v/>
      </c>
      <c r="X23" s="10">
        <f>IFERROR(SUMIFS(XvY!$F$2:$F$500,XvY!$A$2:$A$500,$C$3,XvY!$B$2:$B$500,"1v1")/(SUMIFS(XvY!$F$2:$F$500,XvY!$A$2:$A$500,$C$3,XvY!$B$2:$B$500,"1v1")+SUMIFS(XvY!$G$2:$G$500,XvY!$A$2:$A$500,$C$3,XvY!$B$2:$B$500,"1v1")),"")</f>
        <v/>
      </c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</row>
    <row r="24">
      <c r="A24" s="1" t="n"/>
      <c r="B24" s="1" t="n"/>
      <c r="C24" s="12">
        <f>IFERROR(INDEX('Player Stats'!$B$2:$B$200,MATCH(LARGE(IF('Player Stats'!$A$2:$A$200=$C$3,'Player Stats'!$E$2:$E$200),6),IF('Player Stats'!$A$2:$A$200=$C$3,'Player Stats'!$E$2:$E$200),0)),"")</f>
        <v/>
      </c>
      <c r="D24" s="23" t="inlineStr"/>
      <c r="E24" s="5" t="n"/>
      <c r="F24" s="5" t="n"/>
      <c r="G24" s="5" t="n"/>
      <c r="H24" s="6" t="n"/>
      <c r="I24" s="13">
        <f>IFERROR(INDEX('Player Stats'!$D$2:$D$200,MATCH(C24,'Player Stats'!$B$2:$B$200,0)),"")</f>
        <v/>
      </c>
      <c r="J24" s="15">
        <f>IFERROR(INDEX('Player Stats'!$J$2:$J$200,MATCH(C24,'Player Stats'!$B$2:$B$200,0)),"")</f>
        <v/>
      </c>
      <c r="K24" s="15">
        <f>IFERROR(INDEX('Player Stats'!$K$2:$K$200,MATCH(C24,'Player Stats'!$B$2:$B$200,0)),"")</f>
        <v/>
      </c>
      <c r="L24" s="24">
        <f>IFERROR(INDEX('Player Stats'!$P$2:$P$200,MATCH(C24,'Player Stats'!$B$2:$B$200,0)),"")</f>
        <v/>
      </c>
      <c r="M24" s="15">
        <f>IFERROR(INDEX('Player Stats'!$H$2:$H$200,MATCH(C24,'Player Stats'!$B$2:$B$200,0))/INDEX('Player Stats'!$D$2:$D$200,MATCH(C24,'Player Stats'!$B$2:$B$200,0)),"")</f>
        <v/>
      </c>
      <c r="N24" s="15">
        <f>IFERROR(INDEX('Player Stats'!$I$2:$I$200,MATCH(C24,'Player Stats'!$B$2:$B$200,0))/INDEX('Player Stats'!$D$2:$D$200,MATCH(C24,'Player Stats'!$B$2:$B$200,0)),"")</f>
        <v/>
      </c>
      <c r="O24" s="24">
        <f>IFERROR(INDEX('Player Stats'!$L$2:$L$200,MATCH(C24,'Player Stats'!$B$2:$B$200,0)),"")</f>
        <v/>
      </c>
      <c r="P24" s="14">
        <f>IFERROR(INDEX('Player Stats'!$O$2:$O$200,MATCH(C24,'Player Stats'!$B$2:$B$200,0)),"")</f>
        <v/>
      </c>
      <c r="Q24" s="14">
        <f>IFERROR(INDEX('Player Stats'!$Q$2:$Q$200,MATCH(C24,'Player Stats'!$B$2:$B$200,0)),"")</f>
        <v/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</row>
    <row r="25">
      <c r="A25" s="1" t="n"/>
      <c r="B25" s="1" t="n"/>
      <c r="C25" s="8">
        <f>IFERROR(INDEX('Player Stats'!$B$2:$B$200,MATCH(LARGE(IF('Player Stats'!$A$2:$A$200=$C$3,'Player Stats'!$E$2:$E$200),7),IF('Player Stats'!$A$2:$A$200=$C$3,'Player Stats'!$E$2:$E$200),0)),"")</f>
        <v/>
      </c>
      <c r="D25" s="20" t="inlineStr"/>
      <c r="E25" s="5" t="n"/>
      <c r="F25" s="5" t="n"/>
      <c r="G25" s="5" t="n"/>
      <c r="H25" s="6" t="n"/>
      <c r="I25" s="9">
        <f>IFERROR(INDEX('Player Stats'!$D$2:$D$200,MATCH(C25,'Player Stats'!$B$2:$B$200,0)),"")</f>
        <v/>
      </c>
      <c r="J25" s="11">
        <f>IFERROR(INDEX('Player Stats'!$J$2:$J$200,MATCH(C25,'Player Stats'!$B$2:$B$200,0)),"")</f>
        <v/>
      </c>
      <c r="K25" s="11">
        <f>IFERROR(INDEX('Player Stats'!$K$2:$K$200,MATCH(C25,'Player Stats'!$B$2:$B$200,0)),"")</f>
        <v/>
      </c>
      <c r="L25" s="21">
        <f>IFERROR(INDEX('Player Stats'!$P$2:$P$200,MATCH(C25,'Player Stats'!$B$2:$B$200,0)),"")</f>
        <v/>
      </c>
      <c r="M25" s="11">
        <f>IFERROR(INDEX('Player Stats'!$H$2:$H$200,MATCH(C25,'Player Stats'!$B$2:$B$200,0))/INDEX('Player Stats'!$D$2:$D$200,MATCH(C25,'Player Stats'!$B$2:$B$200,0)),"")</f>
        <v/>
      </c>
      <c r="N25" s="11">
        <f>IFERROR(INDEX('Player Stats'!$I$2:$I$200,MATCH(C25,'Player Stats'!$B$2:$B$200,0))/INDEX('Player Stats'!$D$2:$D$200,MATCH(C25,'Player Stats'!$B$2:$B$200,0)),"")</f>
        <v/>
      </c>
      <c r="O25" s="21">
        <f>IFERROR(INDEX('Player Stats'!$L$2:$L$200,MATCH(C25,'Player Stats'!$B$2:$B$200,0)),"")</f>
        <v/>
      </c>
      <c r="P25" s="10">
        <f>IFERROR(INDEX('Player Stats'!$O$2:$O$200,MATCH(C25,'Player Stats'!$B$2:$B$200,0)),"")</f>
        <v/>
      </c>
      <c r="Q25" s="10">
        <f>IFERROR(INDEX('Player Stats'!$Q$2:$Q$200,MATCH(C25,'Player Stats'!$B$2:$B$200,0)),"")</f>
        <v/>
      </c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</row>
    <row r="26">
      <c r="A26" s="1" t="n"/>
      <c r="B26" s="1" t="n"/>
      <c r="C26" s="12">
        <f>IFERROR(INDEX('Player Stats'!$B$2:$B$200,MATCH(LARGE(IF('Player Stats'!$A$2:$A$200=$C$3,'Player Stats'!$E$2:$E$200),8),IF('Player Stats'!$A$2:$A$200=$C$3,'Player Stats'!$E$2:$E$200),0)),"")</f>
        <v/>
      </c>
      <c r="D26" s="23" t="inlineStr"/>
      <c r="E26" s="5" t="n"/>
      <c r="F26" s="5" t="n"/>
      <c r="G26" s="5" t="n"/>
      <c r="H26" s="6" t="n"/>
      <c r="I26" s="13">
        <f>IFERROR(INDEX('Player Stats'!$D$2:$D$200,MATCH(C26,'Player Stats'!$B$2:$B$200,0)),"")</f>
        <v/>
      </c>
      <c r="J26" s="15">
        <f>IFERROR(INDEX('Player Stats'!$J$2:$J$200,MATCH(C26,'Player Stats'!$B$2:$B$200,0)),"")</f>
        <v/>
      </c>
      <c r="K26" s="15">
        <f>IFERROR(INDEX('Player Stats'!$K$2:$K$200,MATCH(C26,'Player Stats'!$B$2:$B$200,0)),"")</f>
        <v/>
      </c>
      <c r="L26" s="24">
        <f>IFERROR(INDEX('Player Stats'!$P$2:$P$200,MATCH(C26,'Player Stats'!$B$2:$B$200,0)),"")</f>
        <v/>
      </c>
      <c r="M26" s="15">
        <f>IFERROR(INDEX('Player Stats'!$H$2:$H$200,MATCH(C26,'Player Stats'!$B$2:$B$200,0))/INDEX('Player Stats'!$D$2:$D$200,MATCH(C26,'Player Stats'!$B$2:$B$200,0)),"")</f>
        <v/>
      </c>
      <c r="N26" s="15">
        <f>IFERROR(INDEX('Player Stats'!$I$2:$I$200,MATCH(C26,'Player Stats'!$B$2:$B$200,0))/INDEX('Player Stats'!$D$2:$D$200,MATCH(C26,'Player Stats'!$B$2:$B$200,0)),"")</f>
        <v/>
      </c>
      <c r="O26" s="24">
        <f>IFERROR(INDEX('Player Stats'!$L$2:$L$200,MATCH(C26,'Player Stats'!$B$2:$B$200,0)),"")</f>
        <v/>
      </c>
      <c r="P26" s="14">
        <f>IFERROR(INDEX('Player Stats'!$O$2:$O$200,MATCH(C26,'Player Stats'!$B$2:$B$200,0)),"")</f>
        <v/>
      </c>
      <c r="Q26" s="14">
        <f>IFERROR(INDEX('Player Stats'!$Q$2:$Q$200,MATCH(C26,'Player Stats'!$B$2:$B$200,0)),"")</f>
        <v/>
      </c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</row>
    <row r="27">
      <c r="A27" s="1" t="n"/>
      <c r="B27" s="1" t="n"/>
      <c r="C27" s="8">
        <f>IFERROR(INDEX('Player Stats'!$B$2:$B$200,MATCH(LARGE(IF('Player Stats'!$A$2:$A$200=$C$3,'Player Stats'!$E$2:$E$200),9),IF('Player Stats'!$A$2:$A$200=$C$3,'Player Stats'!$E$2:$E$200),0)),"")</f>
        <v/>
      </c>
      <c r="D27" s="20" t="inlineStr"/>
      <c r="E27" s="5" t="n"/>
      <c r="F27" s="5" t="n"/>
      <c r="G27" s="5" t="n"/>
      <c r="H27" s="6" t="n"/>
      <c r="I27" s="9">
        <f>IFERROR(INDEX('Player Stats'!$D$2:$D$200,MATCH(C27,'Player Stats'!$B$2:$B$200,0)),"")</f>
        <v/>
      </c>
      <c r="J27" s="11">
        <f>IFERROR(INDEX('Player Stats'!$J$2:$J$200,MATCH(C27,'Player Stats'!$B$2:$B$200,0)),"")</f>
        <v/>
      </c>
      <c r="K27" s="11">
        <f>IFERROR(INDEX('Player Stats'!$K$2:$K$200,MATCH(C27,'Player Stats'!$B$2:$B$200,0)),"")</f>
        <v/>
      </c>
      <c r="L27" s="21">
        <f>IFERROR(INDEX('Player Stats'!$P$2:$P$200,MATCH(C27,'Player Stats'!$B$2:$B$200,0)),"")</f>
        <v/>
      </c>
      <c r="M27" s="11">
        <f>IFERROR(INDEX('Player Stats'!$H$2:$H$200,MATCH(C27,'Player Stats'!$B$2:$B$200,0))/INDEX('Player Stats'!$D$2:$D$200,MATCH(C27,'Player Stats'!$B$2:$B$200,0)),"")</f>
        <v/>
      </c>
      <c r="N27" s="11">
        <f>IFERROR(INDEX('Player Stats'!$I$2:$I$200,MATCH(C27,'Player Stats'!$B$2:$B$200,0))/INDEX('Player Stats'!$D$2:$D$200,MATCH(C27,'Player Stats'!$B$2:$B$200,0)),"")</f>
        <v/>
      </c>
      <c r="O27" s="21">
        <f>IFERROR(INDEX('Player Stats'!$L$2:$L$200,MATCH(C27,'Player Stats'!$B$2:$B$200,0)),"")</f>
        <v/>
      </c>
      <c r="P27" s="10">
        <f>IFERROR(INDEX('Player Stats'!$O$2:$O$200,MATCH(C27,'Player Stats'!$B$2:$B$200,0)),"")</f>
        <v/>
      </c>
      <c r="Q27" s="10">
        <f>IFERROR(INDEX('Player Stats'!$Q$2:$Q$200,MATCH(C27,'Player Stats'!$B$2:$B$200,0)),"")</f>
        <v/>
      </c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</row>
    <row r="28">
      <c r="A28" s="1" t="n"/>
      <c r="B28" s="1" t="n"/>
      <c r="C28" s="12">
        <f>IFERROR(INDEX('Player Stats'!$B$2:$B$200,MATCH(LARGE(IF('Player Stats'!$A$2:$A$200=$C$3,'Player Stats'!$E$2:$E$200),10),IF('Player Stats'!$A$2:$A$200=$C$3,'Player Stats'!$E$2:$E$200),0)),"")</f>
        <v/>
      </c>
      <c r="D28" s="23" t="inlineStr"/>
      <c r="E28" s="5" t="n"/>
      <c r="F28" s="5" t="n"/>
      <c r="G28" s="5" t="n"/>
      <c r="H28" s="6" t="n"/>
      <c r="I28" s="13">
        <f>IFERROR(INDEX('Player Stats'!$D$2:$D$200,MATCH(C28,'Player Stats'!$B$2:$B$200,0)),"")</f>
        <v/>
      </c>
      <c r="J28" s="15">
        <f>IFERROR(INDEX('Player Stats'!$J$2:$J$200,MATCH(C28,'Player Stats'!$B$2:$B$200,0)),"")</f>
        <v/>
      </c>
      <c r="K28" s="15">
        <f>IFERROR(INDEX('Player Stats'!$K$2:$K$200,MATCH(C28,'Player Stats'!$B$2:$B$200,0)),"")</f>
        <v/>
      </c>
      <c r="L28" s="24">
        <f>IFERROR(INDEX('Player Stats'!$P$2:$P$200,MATCH(C28,'Player Stats'!$B$2:$B$200,0)),"")</f>
        <v/>
      </c>
      <c r="M28" s="15">
        <f>IFERROR(INDEX('Player Stats'!$H$2:$H$200,MATCH(C28,'Player Stats'!$B$2:$B$200,0))/INDEX('Player Stats'!$D$2:$D$200,MATCH(C28,'Player Stats'!$B$2:$B$200,0)),"")</f>
        <v/>
      </c>
      <c r="N28" s="15">
        <f>IFERROR(INDEX('Player Stats'!$I$2:$I$200,MATCH(C28,'Player Stats'!$B$2:$B$200,0))/INDEX('Player Stats'!$D$2:$D$200,MATCH(C28,'Player Stats'!$B$2:$B$200,0)),"")</f>
        <v/>
      </c>
      <c r="O28" s="24">
        <f>IFERROR(INDEX('Player Stats'!$L$2:$L$200,MATCH(C28,'Player Stats'!$B$2:$B$200,0)),"")</f>
        <v/>
      </c>
      <c r="P28" s="14">
        <f>IFERROR(INDEX('Player Stats'!$O$2:$O$200,MATCH(C28,'Player Stats'!$B$2:$B$200,0)),"")</f>
        <v/>
      </c>
      <c r="Q28" s="14">
        <f>IFERROR(INDEX('Player Stats'!$Q$2:$Q$200,MATCH(C28,'Player Stats'!$B$2:$B$200,0)),"")</f>
        <v/>
      </c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</row>
  </sheetData>
  <mergeCells count="30">
    <mergeCell ref="D20:H20"/>
    <mergeCell ref="D10:H10"/>
    <mergeCell ref="AC5:AH5"/>
    <mergeCell ref="D19:H19"/>
    <mergeCell ref="D22:H22"/>
    <mergeCell ref="D21:H21"/>
    <mergeCell ref="C2:H2"/>
    <mergeCell ref="D11:H11"/>
    <mergeCell ref="D13:H13"/>
    <mergeCell ref="D27:H27"/>
    <mergeCell ref="C17:Q17"/>
    <mergeCell ref="D7:H7"/>
    <mergeCell ref="S5:U5"/>
    <mergeCell ref="P5:R5"/>
    <mergeCell ref="D28:H28"/>
    <mergeCell ref="C3:H3"/>
    <mergeCell ref="D9:H9"/>
    <mergeCell ref="J5:L5"/>
    <mergeCell ref="D12:H12"/>
    <mergeCell ref="D8:H8"/>
    <mergeCell ref="D25:H25"/>
    <mergeCell ref="C14:H14"/>
    <mergeCell ref="V5:X5"/>
    <mergeCell ref="C5:H5"/>
    <mergeCell ref="D24:H24"/>
    <mergeCell ref="M5:O5"/>
    <mergeCell ref="D23:H23"/>
    <mergeCell ref="AI5:AM5"/>
    <mergeCell ref="S17:X17"/>
    <mergeCell ref="D26:H26"/>
  </mergeCells>
  <dataValidations count="1">
    <dataValidation sqref="C3" showDropDown="0" showInputMessage="0" showErrorMessage="0" allowBlank="0" errorTitle="Invalid Team" error="Please select a valid team" type="list">
      <formula1>Assets!$H$2:$H$15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3333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Agents</t>
        </is>
      </c>
      <c r="F1" s="19" t="inlineStr">
        <is>
          <t>Map Pool</t>
        </is>
      </c>
      <c r="H1" s="19" t="inlineStr">
        <is>
          <t>Team Names</t>
        </is>
      </c>
    </row>
    <row r="2">
      <c r="A2" s="8" t="inlineStr">
        <is>
          <t>Astra</t>
        </is>
      </c>
      <c r="F2" s="8" t="inlineStr">
        <is>
          <t>Abyss</t>
        </is>
      </c>
      <c r="H2" s="8" t="inlineStr">
        <is>
          <t>FOKUS</t>
        </is>
      </c>
    </row>
    <row r="3">
      <c r="A3" s="8" t="inlineStr">
        <is>
          <t>Breach</t>
        </is>
      </c>
      <c r="F3" s="8" t="inlineStr">
        <is>
          <t>Bind</t>
        </is>
      </c>
      <c r="H3" s="8" t="inlineStr">
        <is>
          <t>Eintracht Frankfurt</t>
        </is>
      </c>
    </row>
    <row r="4">
      <c r="A4" s="8" t="inlineStr">
        <is>
          <t>Brimstone</t>
        </is>
      </c>
      <c r="F4" s="8" t="inlineStr">
        <is>
          <t>Breeze</t>
        </is>
      </c>
      <c r="H4" s="8" t="inlineStr">
        <is>
          <t>Joblife</t>
        </is>
      </c>
    </row>
    <row r="5">
      <c r="A5" s="8" t="inlineStr">
        <is>
          <t>Chamber</t>
        </is>
      </c>
      <c r="F5" s="8" t="inlineStr">
        <is>
          <t>Corrode</t>
        </is>
      </c>
      <c r="H5" s="8" t="inlineStr">
        <is>
          <t>Mandatory</t>
        </is>
      </c>
    </row>
    <row r="6">
      <c r="A6" s="8" t="inlineStr">
        <is>
          <t>Clove</t>
        </is>
      </c>
      <c r="F6" s="8" t="inlineStr">
        <is>
          <t>Haven</t>
        </is>
      </c>
      <c r="H6" s="8" t="inlineStr">
        <is>
          <t>Enterprise Esports</t>
        </is>
      </c>
    </row>
    <row r="7">
      <c r="A7" s="8" t="inlineStr">
        <is>
          <t>Cypher</t>
        </is>
      </c>
      <c r="F7" s="8" t="inlineStr">
        <is>
          <t>Pearl</t>
        </is>
      </c>
      <c r="H7" s="8" t="inlineStr">
        <is>
          <t>Team Liquid Academy</t>
        </is>
      </c>
    </row>
    <row r="8">
      <c r="A8" s="8" t="inlineStr">
        <is>
          <t>Deadlock</t>
        </is>
      </c>
      <c r="F8" s="8" t="inlineStr">
        <is>
          <t>Split</t>
        </is>
      </c>
      <c r="H8" s="8" t="inlineStr">
        <is>
          <t>Pixel Lumina</t>
        </is>
      </c>
    </row>
    <row r="9">
      <c r="A9" s="8" t="inlineStr">
        <is>
          <t>Fade</t>
        </is>
      </c>
      <c r="H9" s="8" t="inlineStr">
        <is>
          <t>MIR</t>
        </is>
      </c>
    </row>
    <row r="10">
      <c r="A10" s="8" t="inlineStr">
        <is>
          <t>Gekko</t>
        </is>
      </c>
      <c r="H10" s="8" t="inlineStr">
        <is>
          <t>Barça eSports</t>
        </is>
      </c>
    </row>
    <row r="11">
      <c r="A11" s="8" t="inlineStr">
        <is>
          <t>Harbor</t>
        </is>
      </c>
      <c r="H11" s="8" t="inlineStr">
        <is>
          <t>UCAM Esports</t>
        </is>
      </c>
    </row>
    <row r="12">
      <c r="A12" s="8" t="inlineStr">
        <is>
          <t>Iso</t>
        </is>
      </c>
      <c r="H12" s="8" t="inlineStr">
        <is>
          <t>Misa Esports</t>
        </is>
      </c>
    </row>
    <row r="13">
      <c r="A13" s="8" t="inlineStr">
        <is>
          <t>Jett</t>
        </is>
      </c>
      <c r="H13" s="8" t="inlineStr">
        <is>
          <t>S2G Esports</t>
        </is>
      </c>
    </row>
    <row r="14">
      <c r="A14" s="8" t="inlineStr">
        <is>
          <t>KAY/O</t>
        </is>
      </c>
      <c r="H14" s="8" t="inlineStr">
        <is>
          <t>Stallions Esports</t>
        </is>
      </c>
    </row>
    <row r="15">
      <c r="A15" s="8" t="inlineStr">
        <is>
          <t>Killjoy</t>
        </is>
      </c>
      <c r="H15" s="8" t="inlineStr">
        <is>
          <t>GnG Amazigh</t>
        </is>
      </c>
    </row>
    <row r="16">
      <c r="A16" s="8" t="inlineStr">
        <is>
          <t>Neon</t>
        </is>
      </c>
    </row>
    <row r="17">
      <c r="A17" s="8" t="inlineStr">
        <is>
          <t>Omen</t>
        </is>
      </c>
    </row>
    <row r="18">
      <c r="A18" s="8" t="inlineStr">
        <is>
          <t>Phoenix</t>
        </is>
      </c>
    </row>
    <row r="19">
      <c r="A19" s="8" t="inlineStr">
        <is>
          <t>Raze</t>
        </is>
      </c>
    </row>
    <row r="20">
      <c r="A20" s="8" t="inlineStr">
        <is>
          <t>Reyna</t>
        </is>
      </c>
    </row>
    <row r="21">
      <c r="A21" s="8" t="inlineStr">
        <is>
          <t>Sage</t>
        </is>
      </c>
    </row>
    <row r="22">
      <c r="A22" s="8" t="inlineStr">
        <is>
          <t>Skye</t>
        </is>
      </c>
    </row>
    <row r="23">
      <c r="A23" s="8" t="inlineStr">
        <is>
          <t>Sova</t>
        </is>
      </c>
    </row>
    <row r="24">
      <c r="A24" s="8" t="inlineStr">
        <is>
          <t>Tejo</t>
        </is>
      </c>
    </row>
    <row r="25">
      <c r="A25" s="8" t="inlineStr">
        <is>
          <t>Veto</t>
        </is>
      </c>
    </row>
    <row r="26">
      <c r="A26" s="8" t="inlineStr">
        <is>
          <t>Viper</t>
        </is>
      </c>
    </row>
    <row r="27">
      <c r="A27" s="8" t="inlineStr">
        <is>
          <t>Vyse</t>
        </is>
      </c>
    </row>
    <row r="28">
      <c r="A28" s="8" t="inlineStr">
        <is>
          <t>Waylay</t>
        </is>
      </c>
    </row>
    <row r="29">
      <c r="A29" s="8" t="inlineStr">
        <is>
          <t>Yoru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3333"/>
    <outlinePr summaryBelow="1" summaryRight="1"/>
    <pageSetUpPr/>
  </sheetPr>
  <dimension ref="A1:S4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Match Id</t>
        </is>
      </c>
      <c r="B1" s="4" t="inlineStr">
        <is>
          <t>Map Name</t>
        </is>
      </c>
      <c r="C1" s="4" t="inlineStr">
        <is>
          <t>Team 1 Name</t>
        </is>
      </c>
      <c r="D1" s="4" t="inlineStr">
        <is>
          <t>Team 2 Name</t>
        </is>
      </c>
      <c r="E1" s="4" t="inlineStr">
        <is>
          <t>Team 1 Agents</t>
        </is>
      </c>
      <c r="F1" s="4" t="inlineStr">
        <is>
          <t>Team 2 Agents</t>
        </is>
      </c>
      <c r="G1" s="4" t="inlineStr">
        <is>
          <t>Team 1 Score</t>
        </is>
      </c>
      <c r="H1" s="4" t="inlineStr">
        <is>
          <t>Team 2 Score</t>
        </is>
      </c>
      <c r="I1" s="4" t="inlineStr">
        <is>
          <t>Team 1 Score At Half</t>
        </is>
      </c>
      <c r="J1" s="4" t="inlineStr">
        <is>
          <t>Team 2 Score At Half</t>
        </is>
      </c>
      <c r="K1" s="4" t="inlineStr">
        <is>
          <t>Team 1 Atk Pistol Wins</t>
        </is>
      </c>
      <c r="L1" s="4" t="inlineStr">
        <is>
          <t>Team 1 Def Pistol Wins</t>
        </is>
      </c>
      <c r="M1" s="4" t="inlineStr">
        <is>
          <t>Team 1 Atk Wins</t>
        </is>
      </c>
      <c r="N1" s="4" t="inlineStr">
        <is>
          <t>Team 1 Atk Losses</t>
        </is>
      </c>
      <c r="O1" s="4" t="inlineStr">
        <is>
          <t>Team 1 Def Wins</t>
        </is>
      </c>
      <c r="P1" s="4" t="inlineStr">
        <is>
          <t>Team 1 Def Losses</t>
        </is>
      </c>
      <c r="Q1" s="4" t="inlineStr">
        <is>
          <t>Date</t>
        </is>
      </c>
      <c r="R1" s="4" t="inlineStr">
        <is>
          <t>Win Team</t>
        </is>
      </c>
      <c r="S1" s="4" t="inlineStr">
        <is>
          <t>Comp_Map</t>
        </is>
      </c>
    </row>
    <row r="2">
      <c r="A2" s="8" t="inlineStr">
        <is>
          <t>92221bb6-f4a0-43ee-bd32-675b904615c9</t>
        </is>
      </c>
      <c r="B2" s="8" t="inlineStr">
        <is>
          <t>Breeze</t>
        </is>
      </c>
      <c r="C2" s="8" t="inlineStr">
        <is>
          <t>FOKUS</t>
        </is>
      </c>
      <c r="D2" s="8" t="inlineStr">
        <is>
          <t>AX</t>
        </is>
      </c>
      <c r="E2" s="8" t="inlineStr">
        <is>
          <t>Neon,Omen,Sova,Viper,Yoru</t>
        </is>
      </c>
      <c r="F2" s="8" t="inlineStr">
        <is>
          <t>Neon,Omen,Sova,Viper,Yoru</t>
        </is>
      </c>
      <c r="G2" s="8" t="n">
        <v>16</v>
      </c>
      <c r="H2" s="8" t="n">
        <v>14</v>
      </c>
      <c r="I2" s="8" t="n">
        <v>3</v>
      </c>
      <c r="J2" s="8" t="n">
        <v>9</v>
      </c>
      <c r="K2" s="8" t="n">
        <v>0</v>
      </c>
      <c r="L2" s="8" t="n">
        <v>0</v>
      </c>
      <c r="M2" s="8" t="n">
        <v>4</v>
      </c>
      <c r="N2" s="8" t="n">
        <v>11</v>
      </c>
      <c r="O2" s="8" t="n">
        <v>12</v>
      </c>
      <c r="P2" s="8" t="n">
        <v>3</v>
      </c>
      <c r="Q2" s="8" t="inlineStr">
        <is>
          <t>2026-03-11</t>
        </is>
      </c>
      <c r="R2" s="8" t="inlineStr">
        <is>
          <t>FOKUS</t>
        </is>
      </c>
      <c r="S2" s="8" t="inlineStr">
        <is>
          <t>Breeze_Neon,Omen,Sova,Viper,Yoru</t>
        </is>
      </c>
    </row>
    <row r="3">
      <c r="A3" s="12" t="inlineStr">
        <is>
          <t>64cbdbf2-92b5-4041-9f0d-0b93b0133f46</t>
        </is>
      </c>
      <c r="B3" s="12" t="inlineStr">
        <is>
          <t>Split</t>
        </is>
      </c>
      <c r="C3" s="12" t="inlineStr">
        <is>
          <t>FOKUS</t>
        </is>
      </c>
      <c r="D3" s="12" t="inlineStr">
        <is>
          <t>AX</t>
        </is>
      </c>
      <c r="E3" s="12" t="inlineStr">
        <is>
          <t>Fade,Neon,Omen,Viper,Waylay</t>
        </is>
      </c>
      <c r="F3" s="12" t="inlineStr">
        <is>
          <t>Fade,Neon,Omen,Viper,Yoru</t>
        </is>
      </c>
      <c r="G3" s="12" t="n">
        <v>13</v>
      </c>
      <c r="H3" s="12" t="n">
        <v>8</v>
      </c>
      <c r="I3" s="12" t="n">
        <v>9</v>
      </c>
      <c r="J3" s="12" t="n">
        <v>3</v>
      </c>
      <c r="K3" s="12" t="n">
        <v>1</v>
      </c>
      <c r="L3" s="12" t="n">
        <v>0</v>
      </c>
      <c r="M3" s="12" t="n">
        <v>9</v>
      </c>
      <c r="N3" s="12" t="n">
        <v>3</v>
      </c>
      <c r="O3" s="12" t="n">
        <v>4</v>
      </c>
      <c r="P3" s="12" t="n">
        <v>5</v>
      </c>
      <c r="Q3" s="12" t="inlineStr">
        <is>
          <t>2026-03-11</t>
        </is>
      </c>
      <c r="R3" s="12" t="inlineStr">
        <is>
          <t>FOKUS</t>
        </is>
      </c>
      <c r="S3" s="12" t="inlineStr">
        <is>
          <t>Split_Fade,Neon,Omen,Viper,Waylay</t>
        </is>
      </c>
    </row>
    <row r="4">
      <c r="A4" s="8" t="inlineStr">
        <is>
          <t>f8dd4980-8525-4726-84b2-db886a5dc006</t>
        </is>
      </c>
      <c r="B4" s="8" t="inlineStr">
        <is>
          <t>Pearl</t>
        </is>
      </c>
      <c r="C4" s="8" t="inlineStr">
        <is>
          <t>FOKUS</t>
        </is>
      </c>
      <c r="D4" s="8" t="inlineStr">
        <is>
          <t>CGN</t>
        </is>
      </c>
      <c r="E4" s="8" t="inlineStr">
        <is>
          <t>Astra,Neon,Sova,Veto,Yoru</t>
        </is>
      </c>
      <c r="F4" s="8" t="inlineStr">
        <is>
          <t>Astra,Cypher,KAY/O,Neon,Tejo</t>
        </is>
      </c>
      <c r="G4" s="8" t="n">
        <v>13</v>
      </c>
      <c r="H4" s="8" t="n">
        <v>7</v>
      </c>
      <c r="I4" s="8" t="n">
        <v>9</v>
      </c>
      <c r="J4" s="8" t="n">
        <v>3</v>
      </c>
      <c r="K4" s="8" t="n">
        <v>1</v>
      </c>
      <c r="L4" s="8" t="n">
        <v>1</v>
      </c>
      <c r="M4" s="8" t="n">
        <v>9</v>
      </c>
      <c r="N4" s="8" t="n">
        <v>3</v>
      </c>
      <c r="O4" s="8" t="n">
        <v>4</v>
      </c>
      <c r="P4" s="8" t="n">
        <v>4</v>
      </c>
      <c r="Q4" s="8" t="inlineStr">
        <is>
          <t>2026-03-10</t>
        </is>
      </c>
      <c r="R4" s="8" t="inlineStr">
        <is>
          <t>FOKUS</t>
        </is>
      </c>
      <c r="S4" s="8" t="inlineStr">
        <is>
          <t>Pearl_Astra,Neon,Sova,Veto,Yoru</t>
        </is>
      </c>
    </row>
    <row r="5">
      <c r="A5" s="12" t="inlineStr">
        <is>
          <t>8aa84255-930a-4b1d-8481-990221a25cf4</t>
        </is>
      </c>
      <c r="B5" s="12" t="inlineStr">
        <is>
          <t>Breeze</t>
        </is>
      </c>
      <c r="C5" s="12" t="inlineStr">
        <is>
          <t>FOKUS</t>
        </is>
      </c>
      <c r="D5" s="12" t="inlineStr">
        <is>
          <t>CGN</t>
        </is>
      </c>
      <c r="E5" s="12" t="inlineStr">
        <is>
          <t>Neon,Omen,Sova,Viper,Yoru</t>
        </is>
      </c>
      <c r="F5" s="12" t="inlineStr">
        <is>
          <t>Astra,Jett,Sage,Sova,Viper</t>
        </is>
      </c>
      <c r="G5" s="12" t="n">
        <v>13</v>
      </c>
      <c r="H5" s="12" t="n">
        <v>11</v>
      </c>
      <c r="I5" s="12" t="n">
        <v>5</v>
      </c>
      <c r="J5" s="12" t="n">
        <v>7</v>
      </c>
      <c r="K5" s="12" t="n">
        <v>0</v>
      </c>
      <c r="L5" s="12" t="n">
        <v>1</v>
      </c>
      <c r="M5" s="12" t="n">
        <v>8</v>
      </c>
      <c r="N5" s="12" t="n">
        <v>4</v>
      </c>
      <c r="O5" s="12" t="n">
        <v>5</v>
      </c>
      <c r="P5" s="12" t="n">
        <v>7</v>
      </c>
      <c r="Q5" s="12" t="inlineStr">
        <is>
          <t>2026-03-10</t>
        </is>
      </c>
      <c r="R5" s="12" t="inlineStr">
        <is>
          <t>FOKUS</t>
        </is>
      </c>
      <c r="S5" s="12" t="inlineStr">
        <is>
          <t>Breeze_Neon,Omen,Sova,Viper,Yoru</t>
        </is>
      </c>
    </row>
    <row r="6">
      <c r="A6" s="8" t="inlineStr">
        <is>
          <t>7f1bbf57-ff19-4729-88e6-c43e8aca6a2f</t>
        </is>
      </c>
      <c r="B6" s="8" t="inlineStr">
        <is>
          <t>Corrode</t>
        </is>
      </c>
      <c r="C6" s="8" t="inlineStr">
        <is>
          <t>FOKUS</t>
        </is>
      </c>
      <c r="D6" s="8" t="inlineStr">
        <is>
          <t>ECO</t>
        </is>
      </c>
      <c r="E6" s="8" t="inlineStr">
        <is>
          <t>Fade,Omen,Viper,Waylay,Yoru</t>
        </is>
      </c>
      <c r="F6" s="8" t="inlineStr">
        <is>
          <t>Gekko,Neon,Omen,Tejo,Waylay</t>
        </is>
      </c>
      <c r="G6" s="8" t="n">
        <v>13</v>
      </c>
      <c r="H6" s="8" t="n">
        <v>10</v>
      </c>
      <c r="I6" s="8" t="n">
        <v>6</v>
      </c>
      <c r="J6" s="8" t="n">
        <v>6</v>
      </c>
      <c r="K6" s="8" t="n">
        <v>1</v>
      </c>
      <c r="L6" s="8" t="n">
        <v>0</v>
      </c>
      <c r="M6" s="8" t="n">
        <v>7</v>
      </c>
      <c r="N6" s="8" t="n">
        <v>4</v>
      </c>
      <c r="O6" s="8" t="n">
        <v>6</v>
      </c>
      <c r="P6" s="8" t="n">
        <v>6</v>
      </c>
      <c r="Q6" s="8" t="inlineStr">
        <is>
          <t>2026-03-09</t>
        </is>
      </c>
      <c r="R6" s="8" t="inlineStr">
        <is>
          <t>FOKUS</t>
        </is>
      </c>
      <c r="S6" s="8" t="inlineStr">
        <is>
          <t>Corrode_Fade,Omen,Viper,Waylay,Yoru</t>
        </is>
      </c>
    </row>
    <row r="7">
      <c r="A7" s="12" t="inlineStr">
        <is>
          <t>5ce04076-8d0f-4948-8abe-c398d7e13170</t>
        </is>
      </c>
      <c r="B7" s="12" t="inlineStr">
        <is>
          <t>Haven</t>
        </is>
      </c>
      <c r="C7" s="12" t="inlineStr">
        <is>
          <t>FOKUS</t>
        </is>
      </c>
      <c r="D7" s="12" t="inlineStr">
        <is>
          <t>ECO</t>
        </is>
      </c>
      <c r="E7" s="12" t="inlineStr">
        <is>
          <t>Cypher,Neon,Omen,Sova,Yoru</t>
        </is>
      </c>
      <c r="F7" s="12" t="inlineStr">
        <is>
          <t>Killjoy,Neon,Omen,Sova,Waylay</t>
        </is>
      </c>
      <c r="G7" s="12" t="n">
        <v>13</v>
      </c>
      <c r="H7" s="12" t="n">
        <v>4</v>
      </c>
      <c r="I7" s="12" t="n">
        <v>9</v>
      </c>
      <c r="J7" s="12" t="n">
        <v>3</v>
      </c>
      <c r="K7" s="12" t="n">
        <v>0</v>
      </c>
      <c r="L7" s="12" t="n">
        <v>1</v>
      </c>
      <c r="M7" s="12" t="n">
        <v>9</v>
      </c>
      <c r="N7" s="12" t="n">
        <v>3</v>
      </c>
      <c r="O7" s="12" t="n">
        <v>4</v>
      </c>
      <c r="P7" s="12" t="n">
        <v>1</v>
      </c>
      <c r="Q7" s="12" t="inlineStr">
        <is>
          <t>2026-03-09</t>
        </is>
      </c>
      <c r="R7" s="12" t="inlineStr">
        <is>
          <t>FOKUS</t>
        </is>
      </c>
      <c r="S7" s="12" t="inlineStr">
        <is>
          <t>Haven_Cypher,Neon,Omen,Sova,Yoru</t>
        </is>
      </c>
    </row>
    <row r="8">
      <c r="A8" s="8" t="inlineStr">
        <is>
          <t>8a58d3fb-4ee0-4cbc-b09a-93ce5733c2b3</t>
        </is>
      </c>
      <c r="B8" s="8" t="inlineStr">
        <is>
          <t>Breeze</t>
        </is>
      </c>
      <c r="C8" s="8" t="inlineStr">
        <is>
          <t>FOKUS</t>
        </is>
      </c>
      <c r="D8" s="8" t="inlineStr">
        <is>
          <t>SGE</t>
        </is>
      </c>
      <c r="E8" s="8" t="inlineStr">
        <is>
          <t>Neon,Omen,Sova,Viper,Yoru</t>
        </is>
      </c>
      <c r="F8" s="8" t="inlineStr">
        <is>
          <t>Astra,Neon,Sova,Viper,Yoru</t>
        </is>
      </c>
      <c r="G8" s="8" t="n">
        <v>10</v>
      </c>
      <c r="H8" s="8" t="n">
        <v>13</v>
      </c>
      <c r="I8" s="8" t="n">
        <v>3</v>
      </c>
      <c r="J8" s="8" t="n">
        <v>9</v>
      </c>
      <c r="K8" s="8" t="n">
        <v>0</v>
      </c>
      <c r="L8" s="8" t="n">
        <v>0</v>
      </c>
      <c r="M8" s="8" t="n">
        <v>7</v>
      </c>
      <c r="N8" s="8" t="n">
        <v>4</v>
      </c>
      <c r="O8" s="8" t="n">
        <v>3</v>
      </c>
      <c r="P8" s="8" t="n">
        <v>9</v>
      </c>
      <c r="Q8" s="8" t="inlineStr">
        <is>
          <t>2026-03-08</t>
        </is>
      </c>
      <c r="R8" s="8" t="inlineStr">
        <is>
          <t>SGE</t>
        </is>
      </c>
      <c r="S8" s="8" t="inlineStr">
        <is>
          <t>Breeze_Neon,Omen,Sova,Viper,Yoru</t>
        </is>
      </c>
    </row>
    <row r="9">
      <c r="A9" s="12" t="inlineStr">
        <is>
          <t>80ca0e19-cd00-4b28-a36d-d62c1e6371e7</t>
        </is>
      </c>
      <c r="B9" s="12" t="inlineStr">
        <is>
          <t>Pearl</t>
        </is>
      </c>
      <c r="C9" s="12" t="inlineStr">
        <is>
          <t>FOKUS</t>
        </is>
      </c>
      <c r="D9" s="12" t="inlineStr">
        <is>
          <t>SGE</t>
        </is>
      </c>
      <c r="E9" s="12" t="inlineStr">
        <is>
          <t>Astra,Neon,Sova,Veto,Yoru</t>
        </is>
      </c>
      <c r="F9" s="12" t="inlineStr">
        <is>
          <t>Astra,Fade,Killjoy,Neon,Yoru</t>
        </is>
      </c>
      <c r="G9" s="12" t="n">
        <v>9</v>
      </c>
      <c r="H9" s="12" t="n">
        <v>13</v>
      </c>
      <c r="I9" s="12" t="n">
        <v>2</v>
      </c>
      <c r="J9" s="12" t="n">
        <v>10</v>
      </c>
      <c r="K9" s="12" t="n">
        <v>1</v>
      </c>
      <c r="L9" s="12" t="n">
        <v>0</v>
      </c>
      <c r="M9" s="12" t="n">
        <v>7</v>
      </c>
      <c r="N9" s="12" t="n">
        <v>3</v>
      </c>
      <c r="O9" s="12" t="n">
        <v>2</v>
      </c>
      <c r="P9" s="12" t="n">
        <v>10</v>
      </c>
      <c r="Q9" s="12" t="inlineStr">
        <is>
          <t>2026-03-08</t>
        </is>
      </c>
      <c r="R9" s="12" t="inlineStr">
        <is>
          <t>SGE</t>
        </is>
      </c>
      <c r="S9" s="12" t="inlineStr">
        <is>
          <t>Pearl_Astra,Neon,Sova,Veto,Yoru</t>
        </is>
      </c>
    </row>
    <row r="10">
      <c r="A10" s="8" t="inlineStr">
        <is>
          <t>8772c4f9-8c25-46b6-ace7-4625e7fad180</t>
        </is>
      </c>
      <c r="B10" s="8" t="inlineStr">
        <is>
          <t>Bind</t>
        </is>
      </c>
      <c r="C10" s="8" t="inlineStr">
        <is>
          <t>FOKUS</t>
        </is>
      </c>
      <c r="D10" s="8" t="inlineStr">
        <is>
          <t>ATN</t>
        </is>
      </c>
      <c r="E10" s="8" t="inlineStr">
        <is>
          <t>Brimstone,Fade,Raze,Viper,Yoru</t>
        </is>
      </c>
      <c r="F10" s="8" t="inlineStr">
        <is>
          <t>Brimstone,Neon,Skye,Viper,Waylay</t>
        </is>
      </c>
      <c r="G10" s="8" t="n">
        <v>13</v>
      </c>
      <c r="H10" s="8" t="n">
        <v>4</v>
      </c>
      <c r="I10" s="8" t="n">
        <v>10</v>
      </c>
      <c r="J10" s="8" t="n">
        <v>2</v>
      </c>
      <c r="K10" s="8" t="n">
        <v>0</v>
      </c>
      <c r="L10" s="8" t="n">
        <v>1</v>
      </c>
      <c r="M10" s="8" t="n">
        <v>3</v>
      </c>
      <c r="N10" s="8" t="n">
        <v>2</v>
      </c>
      <c r="O10" s="8" t="n">
        <v>10</v>
      </c>
      <c r="P10" s="8" t="n">
        <v>2</v>
      </c>
      <c r="Q10" s="8" t="inlineStr">
        <is>
          <t>2026-03-06</t>
        </is>
      </c>
      <c r="R10" s="8" t="inlineStr">
        <is>
          <t>FOKUS</t>
        </is>
      </c>
      <c r="S10" s="8" t="inlineStr">
        <is>
          <t>Bind_Brimstone,Fade,Raze,Viper,Yoru</t>
        </is>
      </c>
    </row>
    <row r="11">
      <c r="A11" s="12" t="inlineStr">
        <is>
          <t>a9d924dd-7d4c-497c-91cb-1b22234d4e0d</t>
        </is>
      </c>
      <c r="B11" s="12" t="inlineStr">
        <is>
          <t>Breeze</t>
        </is>
      </c>
      <c r="C11" s="12" t="inlineStr">
        <is>
          <t>FOKUS</t>
        </is>
      </c>
      <c r="D11" s="12" t="inlineStr">
        <is>
          <t>ATN</t>
        </is>
      </c>
      <c r="E11" s="12" t="inlineStr">
        <is>
          <t>Neon,Omen,Sova,Viper,Yoru</t>
        </is>
      </c>
      <c r="F11" s="12" t="inlineStr">
        <is>
          <t>Neon,Omen,Sova,Viper,Yoru</t>
        </is>
      </c>
      <c r="G11" s="12" t="n">
        <v>13</v>
      </c>
      <c r="H11" s="12" t="n">
        <v>6</v>
      </c>
      <c r="I11" s="12" t="n">
        <v>7</v>
      </c>
      <c r="J11" s="12" t="n">
        <v>5</v>
      </c>
      <c r="K11" s="12" t="n">
        <v>1</v>
      </c>
      <c r="L11" s="12" t="n">
        <v>0</v>
      </c>
      <c r="M11" s="12" t="n">
        <v>6</v>
      </c>
      <c r="N11" s="12" t="n">
        <v>1</v>
      </c>
      <c r="O11" s="12" t="n">
        <v>7</v>
      </c>
      <c r="P11" s="12" t="n">
        <v>5</v>
      </c>
      <c r="Q11" s="12" t="inlineStr">
        <is>
          <t>2026-03-06</t>
        </is>
      </c>
      <c r="R11" s="12" t="inlineStr">
        <is>
          <t>FOKUS</t>
        </is>
      </c>
      <c r="S11" s="12" t="inlineStr">
        <is>
          <t>Breeze_Neon,Omen,Sova,Viper,Yoru</t>
        </is>
      </c>
    </row>
    <row r="12">
      <c r="A12" s="8" t="inlineStr">
        <is>
          <t>01a75b22-a80e-4438-b648-bdc89fe6f0bb</t>
        </is>
      </c>
      <c r="B12" s="8" t="inlineStr">
        <is>
          <t>Breeze</t>
        </is>
      </c>
      <c r="C12" s="8" t="inlineStr">
        <is>
          <t>FOKUS</t>
        </is>
      </c>
      <c r="D12" s="8" t="inlineStr">
        <is>
          <t>TOG</t>
        </is>
      </c>
      <c r="E12" s="8" t="inlineStr">
        <is>
          <t>Neon,Omen,Sova,Viper,Yoru</t>
        </is>
      </c>
      <c r="F12" s="8" t="inlineStr">
        <is>
          <t>Jett,Omen,Sova,Viper,Yoru</t>
        </is>
      </c>
      <c r="G12" s="8" t="n">
        <v>13</v>
      </c>
      <c r="H12" s="8" t="n">
        <v>1</v>
      </c>
      <c r="I12" s="8" t="n">
        <v>11</v>
      </c>
      <c r="J12" s="8" t="n">
        <v>1</v>
      </c>
      <c r="K12" s="8" t="n">
        <v>1</v>
      </c>
      <c r="L12" s="8" t="n">
        <v>1</v>
      </c>
      <c r="M12" s="8" t="n">
        <v>11</v>
      </c>
      <c r="N12" s="8" t="n">
        <v>1</v>
      </c>
      <c r="O12" s="8" t="n">
        <v>2</v>
      </c>
      <c r="P12" s="8" t="n">
        <v>0</v>
      </c>
      <c r="Q12" s="8" t="inlineStr">
        <is>
          <t>2026-03-05</t>
        </is>
      </c>
      <c r="R12" s="8" t="inlineStr">
        <is>
          <t>FOKUS</t>
        </is>
      </c>
      <c r="S12" s="8" t="inlineStr">
        <is>
          <t>Breeze_Neon,Omen,Sova,Viper,Yoru</t>
        </is>
      </c>
    </row>
    <row r="13">
      <c r="A13" s="12" t="inlineStr">
        <is>
          <t>83cd5fda-a318-4ab6-b814-354737fa43e3</t>
        </is>
      </c>
      <c r="B13" s="12" t="inlineStr">
        <is>
          <t>Abyss</t>
        </is>
      </c>
      <c r="C13" s="12" t="inlineStr">
        <is>
          <t>FOKUS</t>
        </is>
      </c>
      <c r="D13" s="12" t="inlineStr">
        <is>
          <t>TOG</t>
        </is>
      </c>
      <c r="E13" s="12" t="inlineStr">
        <is>
          <t>Astra,Sova,Veto,Waylay,Yoru</t>
        </is>
      </c>
      <c r="F13" s="12" t="inlineStr">
        <is>
          <t>Harbor,KAY/O,Omen,Sova,Waylay</t>
        </is>
      </c>
      <c r="G13" s="12" t="n">
        <v>13</v>
      </c>
      <c r="H13" s="12" t="n">
        <v>6</v>
      </c>
      <c r="I13" s="12" t="n">
        <v>8</v>
      </c>
      <c r="J13" s="12" t="n">
        <v>4</v>
      </c>
      <c r="K13" s="12" t="n">
        <v>0</v>
      </c>
      <c r="L13" s="12" t="n">
        <v>0</v>
      </c>
      <c r="M13" s="12" t="n">
        <v>5</v>
      </c>
      <c r="N13" s="12" t="n">
        <v>2</v>
      </c>
      <c r="O13" s="12" t="n">
        <v>8</v>
      </c>
      <c r="P13" s="12" t="n">
        <v>4</v>
      </c>
      <c r="Q13" s="12" t="inlineStr">
        <is>
          <t>2026-03-05</t>
        </is>
      </c>
      <c r="R13" s="12" t="inlineStr">
        <is>
          <t>FOKUS</t>
        </is>
      </c>
      <c r="S13" s="12" t="inlineStr">
        <is>
          <t>Abyss_Astra,Sova,Veto,Waylay,Yoru</t>
        </is>
      </c>
    </row>
    <row r="14">
      <c r="A14" s="8" t="inlineStr">
        <is>
          <t>b18cf372-aa87-4cde-9167-061914581c8e</t>
        </is>
      </c>
      <c r="B14" s="8" t="inlineStr">
        <is>
          <t>Split</t>
        </is>
      </c>
      <c r="C14" s="8" t="inlineStr">
        <is>
          <t>FOKUS</t>
        </is>
      </c>
      <c r="D14" s="8" t="inlineStr">
        <is>
          <t>SGE</t>
        </is>
      </c>
      <c r="E14" s="8" t="inlineStr">
        <is>
          <t>Omen,Raze,Skye,Viper,Yoru</t>
        </is>
      </c>
      <c r="F14" s="8" t="inlineStr">
        <is>
          <t>Fade,Neon,Omen,Viper,Yoru</t>
        </is>
      </c>
      <c r="G14" s="8" t="n">
        <v>6</v>
      </c>
      <c r="H14" s="8" t="n">
        <v>13</v>
      </c>
      <c r="I14" s="8" t="n">
        <v>5</v>
      </c>
      <c r="J14" s="8" t="n">
        <v>7</v>
      </c>
      <c r="K14" s="8" t="n">
        <v>0</v>
      </c>
      <c r="L14" s="8" t="n">
        <v>1</v>
      </c>
      <c r="M14" s="8" t="n">
        <v>1</v>
      </c>
      <c r="N14" s="8" t="n">
        <v>6</v>
      </c>
      <c r="O14" s="8" t="n">
        <v>5</v>
      </c>
      <c r="P14" s="8" t="n">
        <v>7</v>
      </c>
      <c r="Q14" s="8" t="inlineStr">
        <is>
          <t>2026-02-28</t>
        </is>
      </c>
      <c r="R14" s="8" t="inlineStr">
        <is>
          <t>SGE</t>
        </is>
      </c>
      <c r="S14" s="8" t="inlineStr">
        <is>
          <t>Split_Omen,Raze,Skye,Viper,Yoru</t>
        </is>
      </c>
    </row>
    <row r="15">
      <c r="A15" s="12" t="inlineStr">
        <is>
          <t>9cc27d5c-07e0-460c-be48-434902f91cc3</t>
        </is>
      </c>
      <c r="B15" s="12" t="inlineStr">
        <is>
          <t>Abyss</t>
        </is>
      </c>
      <c r="C15" s="12" t="inlineStr">
        <is>
          <t>FOKUS</t>
        </is>
      </c>
      <c r="D15" s="12" t="inlineStr">
        <is>
          <t>SGE</t>
        </is>
      </c>
      <c r="E15" s="12" t="inlineStr">
        <is>
          <t>Astra,Cypher,Sova,Waylay,Yoru</t>
        </is>
      </c>
      <c r="F15" s="12" t="inlineStr">
        <is>
          <t>Astra,Harbor,Sova,Waylay,Yoru</t>
        </is>
      </c>
      <c r="G15" s="12" t="n">
        <v>8</v>
      </c>
      <c r="H15" s="12" t="n">
        <v>13</v>
      </c>
      <c r="I15" s="12" t="n">
        <v>3</v>
      </c>
      <c r="J15" s="12" t="n">
        <v>9</v>
      </c>
      <c r="K15" s="12" t="n">
        <v>0</v>
      </c>
      <c r="L15" s="12" t="n">
        <v>1</v>
      </c>
      <c r="M15" s="12" t="n">
        <v>3</v>
      </c>
      <c r="N15" s="12" t="n">
        <v>9</v>
      </c>
      <c r="O15" s="12" t="n">
        <v>5</v>
      </c>
      <c r="P15" s="12" t="n">
        <v>4</v>
      </c>
      <c r="Q15" s="12" t="inlineStr">
        <is>
          <t>2026-02-28</t>
        </is>
      </c>
      <c r="R15" s="12" t="inlineStr">
        <is>
          <t>SGE</t>
        </is>
      </c>
      <c r="S15" s="12" t="inlineStr">
        <is>
          <t>Abyss_Astra,Cypher,Sova,Waylay,Yoru</t>
        </is>
      </c>
    </row>
    <row r="16">
      <c r="A16" s="8" t="inlineStr">
        <is>
          <t>1c3f1cc3-056e-44ea-b9a4-56a817fd7829</t>
        </is>
      </c>
      <c r="B16" s="8" t="inlineStr">
        <is>
          <t>Bind</t>
        </is>
      </c>
      <c r="C16" s="8" t="inlineStr">
        <is>
          <t>FOKUS</t>
        </is>
      </c>
      <c r="D16" s="8" t="inlineStr">
        <is>
          <t>SGE</t>
        </is>
      </c>
      <c r="E16" s="8" t="inlineStr">
        <is>
          <t>Brimstone,Fade,Raze,Viper,Yoru</t>
        </is>
      </c>
      <c r="F16" s="8" t="inlineStr">
        <is>
          <t>Brimstone,Fade,Neon,Viper,Yoru</t>
        </is>
      </c>
      <c r="G16" s="8" t="n">
        <v>14</v>
      </c>
      <c r="H16" s="8" t="n">
        <v>12</v>
      </c>
      <c r="I16" s="8" t="n">
        <v>11</v>
      </c>
      <c r="J16" s="8" t="n">
        <v>1</v>
      </c>
      <c r="K16" s="8" t="n">
        <v>0</v>
      </c>
      <c r="L16" s="8" t="n">
        <v>1</v>
      </c>
      <c r="M16" s="8" t="n">
        <v>2</v>
      </c>
      <c r="N16" s="8" t="n">
        <v>11</v>
      </c>
      <c r="O16" s="8" t="n">
        <v>12</v>
      </c>
      <c r="P16" s="8" t="n">
        <v>1</v>
      </c>
      <c r="Q16" s="8" t="inlineStr">
        <is>
          <t>2026-02-28</t>
        </is>
      </c>
      <c r="R16" s="8" t="inlineStr">
        <is>
          <t>FOKUS</t>
        </is>
      </c>
      <c r="S16" s="8" t="inlineStr">
        <is>
          <t>Bind_Brimstone,Fade,Raze,Viper,Yoru</t>
        </is>
      </c>
    </row>
    <row r="17">
      <c r="A17" s="12" t="inlineStr">
        <is>
          <t>23790ccf-906d-4357-9360-76c4bef175b7</t>
        </is>
      </c>
      <c r="B17" s="12" t="inlineStr">
        <is>
          <t>Bind</t>
        </is>
      </c>
      <c r="C17" s="12" t="inlineStr">
        <is>
          <t>FOKUS</t>
        </is>
      </c>
      <c r="D17" s="12" t="inlineStr">
        <is>
          <t>BJK</t>
        </is>
      </c>
      <c r="E17" s="12" t="inlineStr">
        <is>
          <t>Brimstone,Fade,Raze,Viper,Yoru</t>
        </is>
      </c>
      <c r="F17" s="12" t="inlineStr">
        <is>
          <t>Brimstone,Fade,Raze,Viper,Yoru</t>
        </is>
      </c>
      <c r="G17" s="12" t="n">
        <v>7</v>
      </c>
      <c r="H17" s="12" t="n">
        <v>13</v>
      </c>
      <c r="I17" s="12" t="n">
        <v>6</v>
      </c>
      <c r="J17" s="12" t="n">
        <v>6</v>
      </c>
      <c r="K17" s="12" t="n">
        <v>0</v>
      </c>
      <c r="L17" s="12" t="n">
        <v>0</v>
      </c>
      <c r="M17" s="12" t="n">
        <v>6</v>
      </c>
      <c r="N17" s="12" t="n">
        <v>6</v>
      </c>
      <c r="O17" s="12" t="n">
        <v>1</v>
      </c>
      <c r="P17" s="12" t="n">
        <v>7</v>
      </c>
      <c r="Q17" s="12" t="inlineStr">
        <is>
          <t>2026-02-21</t>
        </is>
      </c>
      <c r="R17" s="12" t="inlineStr">
        <is>
          <t>BJK</t>
        </is>
      </c>
      <c r="S17" s="12" t="inlineStr">
        <is>
          <t>Bind_Brimstone,Fade,Raze,Viper,Yoru</t>
        </is>
      </c>
    </row>
    <row r="18">
      <c r="A18" s="8" t="inlineStr">
        <is>
          <t>d94fe112-5977-4c0e-9bf7-65fc004dc43f</t>
        </is>
      </c>
      <c r="B18" s="8" t="inlineStr">
        <is>
          <t>Breeze</t>
        </is>
      </c>
      <c r="C18" s="8" t="inlineStr">
        <is>
          <t>FOKUS</t>
        </is>
      </c>
      <c r="D18" s="8" t="inlineStr">
        <is>
          <t>BJK</t>
        </is>
      </c>
      <c r="E18" s="8" t="inlineStr">
        <is>
          <t>Astra,Neon,Sova,Viper,Yoru</t>
        </is>
      </c>
      <c r="F18" s="8" t="inlineStr">
        <is>
          <t>Astra,Breach,Jett,Sova,Viper</t>
        </is>
      </c>
      <c r="G18" s="8" t="n">
        <v>8</v>
      </c>
      <c r="H18" s="8" t="n">
        <v>13</v>
      </c>
      <c r="I18" s="8" t="n">
        <v>6</v>
      </c>
      <c r="J18" s="8" t="n">
        <v>6</v>
      </c>
      <c r="K18" s="8" t="n">
        <v>0</v>
      </c>
      <c r="L18" s="8" t="n">
        <v>1</v>
      </c>
      <c r="M18" s="8" t="n">
        <v>6</v>
      </c>
      <c r="N18" s="8" t="n">
        <v>6</v>
      </c>
      <c r="O18" s="8" t="n">
        <v>2</v>
      </c>
      <c r="P18" s="8" t="n">
        <v>7</v>
      </c>
      <c r="Q18" s="8" t="inlineStr">
        <is>
          <t>2026-02-21</t>
        </is>
      </c>
      <c r="R18" s="8" t="inlineStr">
        <is>
          <t>BJK</t>
        </is>
      </c>
      <c r="S18" s="8" t="inlineStr">
        <is>
          <t>Breeze_Astra,Neon,Sova,Viper,Yoru</t>
        </is>
      </c>
    </row>
    <row r="19">
      <c r="A19" s="12" t="inlineStr">
        <is>
          <t>e7082892-d52a-4fa2-bfe0-16d74f4ff0d1</t>
        </is>
      </c>
      <c r="B19" s="12" t="inlineStr">
        <is>
          <t>Split</t>
        </is>
      </c>
      <c r="C19" s="12" t="inlineStr">
        <is>
          <t>FOKUS</t>
        </is>
      </c>
      <c r="D19" s="12" t="inlineStr">
        <is>
          <t>BJK</t>
        </is>
      </c>
      <c r="E19" s="12" t="inlineStr">
        <is>
          <t>Omen,Raze,Skye,Viper,Yoru</t>
        </is>
      </c>
      <c r="F19" s="12" t="inlineStr">
        <is>
          <t>Fade,Omen,Raze,Viper,Yoru</t>
        </is>
      </c>
      <c r="G19" s="12" t="n">
        <v>13</v>
      </c>
      <c r="H19" s="12" t="n">
        <v>10</v>
      </c>
      <c r="I19" s="12" t="n">
        <v>7</v>
      </c>
      <c r="J19" s="12" t="n">
        <v>5</v>
      </c>
      <c r="K19" s="12" t="n">
        <v>1</v>
      </c>
      <c r="L19" s="12" t="n">
        <v>0</v>
      </c>
      <c r="M19" s="12" t="n">
        <v>6</v>
      </c>
      <c r="N19" s="12" t="n">
        <v>5</v>
      </c>
      <c r="O19" s="12" t="n">
        <v>7</v>
      </c>
      <c r="P19" s="12" t="n">
        <v>5</v>
      </c>
      <c r="Q19" s="12" t="inlineStr">
        <is>
          <t>2026-02-21</t>
        </is>
      </c>
      <c r="R19" s="12" t="inlineStr">
        <is>
          <t>FOKUS</t>
        </is>
      </c>
      <c r="S19" s="12" t="inlineStr">
        <is>
          <t>Split_Omen,Raze,Skye,Viper,Yoru</t>
        </is>
      </c>
    </row>
    <row r="20">
      <c r="A20" s="8" t="inlineStr">
        <is>
          <t>d9061177-8c07-4b8a-933c-09d671580f04</t>
        </is>
      </c>
      <c r="B20" s="8" t="inlineStr">
        <is>
          <t>Breeze</t>
        </is>
      </c>
      <c r="C20" s="8" t="inlineStr">
        <is>
          <t>FOKUS</t>
        </is>
      </c>
      <c r="D20" s="8" t="inlineStr">
        <is>
          <t>VIT</t>
        </is>
      </c>
      <c r="E20" s="8" t="inlineStr">
        <is>
          <t>Astra,Neon,Sova,Viper,Yoru</t>
        </is>
      </c>
      <c r="F20" s="8" t="inlineStr">
        <is>
          <t>Jett,Omen,Sova,Viper,Yoru</t>
        </is>
      </c>
      <c r="G20" s="8" t="n">
        <v>11</v>
      </c>
      <c r="H20" s="8" t="n">
        <v>13</v>
      </c>
      <c r="I20" s="8" t="n">
        <v>7</v>
      </c>
      <c r="J20" s="8" t="n">
        <v>5</v>
      </c>
      <c r="K20" s="8" t="n">
        <v>1</v>
      </c>
      <c r="L20" s="8" t="n">
        <v>0</v>
      </c>
      <c r="M20" s="8" t="n">
        <v>4</v>
      </c>
      <c r="N20" s="8" t="n">
        <v>8</v>
      </c>
      <c r="O20" s="8" t="n">
        <v>7</v>
      </c>
      <c r="P20" s="8" t="n">
        <v>5</v>
      </c>
      <c r="Q20" s="8" t="inlineStr">
        <is>
          <t>2026-02-20</t>
        </is>
      </c>
      <c r="R20" s="8" t="inlineStr">
        <is>
          <t>VIT</t>
        </is>
      </c>
      <c r="S20" s="8" t="inlineStr">
        <is>
          <t>Breeze_Astra,Neon,Sova,Viper,Yoru</t>
        </is>
      </c>
    </row>
    <row r="21">
      <c r="A21" s="12" t="inlineStr">
        <is>
          <t>b1b2498b-0fa9-483b-a9f0-362d3f4b2f08</t>
        </is>
      </c>
      <c r="B21" s="12" t="inlineStr">
        <is>
          <t>Abyss</t>
        </is>
      </c>
      <c r="C21" s="12" t="inlineStr">
        <is>
          <t>FOKUS</t>
        </is>
      </c>
      <c r="D21" s="12" t="inlineStr">
        <is>
          <t>VIT</t>
        </is>
      </c>
      <c r="E21" s="12" t="inlineStr">
        <is>
          <t>Astra,Sova,Veto,Waylay,Yoru</t>
        </is>
      </c>
      <c r="F21" s="12" t="inlineStr">
        <is>
          <t>Astra,Harbor,Neon,Sova,Yoru</t>
        </is>
      </c>
      <c r="G21" s="12" t="n">
        <v>6</v>
      </c>
      <c r="H21" s="12" t="n">
        <v>13</v>
      </c>
      <c r="I21" s="12" t="n">
        <v>4</v>
      </c>
      <c r="J21" s="12" t="n">
        <v>8</v>
      </c>
      <c r="K21" s="12" t="n">
        <v>0</v>
      </c>
      <c r="L21" s="12" t="n">
        <v>0</v>
      </c>
      <c r="M21" s="12" t="n">
        <v>4</v>
      </c>
      <c r="N21" s="12" t="n">
        <v>8</v>
      </c>
      <c r="O21" s="12" t="n">
        <v>2</v>
      </c>
      <c r="P21" s="12" t="n">
        <v>5</v>
      </c>
      <c r="Q21" s="12" t="inlineStr">
        <is>
          <t>2026-02-20</t>
        </is>
      </c>
      <c r="R21" s="12" t="inlineStr">
        <is>
          <t>VIT</t>
        </is>
      </c>
      <c r="S21" s="12" t="inlineStr">
        <is>
          <t>Abyss_Astra,Sova,Veto,Waylay,Yoru</t>
        </is>
      </c>
    </row>
    <row r="22">
      <c r="A22" s="8" t="inlineStr">
        <is>
          <t>8cf2bdd2-6e4a-483c-ba68-109f21f7d47a</t>
        </is>
      </c>
      <c r="B22" s="8" t="inlineStr">
        <is>
          <t>Abyss</t>
        </is>
      </c>
      <c r="C22" s="8" t="inlineStr">
        <is>
          <t>FOKUS</t>
        </is>
      </c>
      <c r="D22" s="8" t="inlineStr">
        <is>
          <t>UCAM</t>
        </is>
      </c>
      <c r="E22" s="8" t="inlineStr">
        <is>
          <t>Astra,Sova,Veto,Waylay,Yoru</t>
        </is>
      </c>
      <c r="F22" s="8" t="inlineStr">
        <is>
          <t>Astra,Breach,Tejo,Waylay,Yoru</t>
        </is>
      </c>
      <c r="G22" s="8" t="n">
        <v>13</v>
      </c>
      <c r="H22" s="8" t="n">
        <v>9</v>
      </c>
      <c r="I22" s="8" t="n">
        <v>6</v>
      </c>
      <c r="J22" s="8" t="n">
        <v>6</v>
      </c>
      <c r="K22" s="8" t="n">
        <v>0</v>
      </c>
      <c r="L22" s="8" t="n">
        <v>0</v>
      </c>
      <c r="M22" s="8" t="n">
        <v>6</v>
      </c>
      <c r="N22" s="8" t="n">
        <v>6</v>
      </c>
      <c r="O22" s="8" t="n">
        <v>7</v>
      </c>
      <c r="P22" s="8" t="n">
        <v>3</v>
      </c>
      <c r="Q22" s="8" t="inlineStr">
        <is>
          <t>2026-02-19</t>
        </is>
      </c>
      <c r="R22" s="8" t="inlineStr">
        <is>
          <t>FOKUS</t>
        </is>
      </c>
      <c r="S22" s="8" t="inlineStr">
        <is>
          <t>Abyss_Astra,Sova,Veto,Waylay,Yoru</t>
        </is>
      </c>
    </row>
    <row r="23">
      <c r="A23" s="12" t="inlineStr">
        <is>
          <t>c7c1710e-25af-4247-83c9-6184f561abc9</t>
        </is>
      </c>
      <c r="B23" s="12" t="inlineStr">
        <is>
          <t>Haven</t>
        </is>
      </c>
      <c r="C23" s="12" t="inlineStr">
        <is>
          <t>FOKUS</t>
        </is>
      </c>
      <c r="D23" s="12" t="inlineStr">
        <is>
          <t>UCAM</t>
        </is>
      </c>
      <c r="E23" s="12" t="inlineStr">
        <is>
          <t>Cypher,Neon,Omen,Sova,Yoru</t>
        </is>
      </c>
      <c r="F23" s="12" t="inlineStr">
        <is>
          <t>Fade,Killjoy,Omen,Viper,Yoru</t>
        </is>
      </c>
      <c r="G23" s="12" t="n">
        <v>9</v>
      </c>
      <c r="H23" s="12" t="n">
        <v>13</v>
      </c>
      <c r="I23" s="12" t="n">
        <v>6</v>
      </c>
      <c r="J23" s="12" t="n">
        <v>6</v>
      </c>
      <c r="K23" s="12" t="n">
        <v>1</v>
      </c>
      <c r="L23" s="12" t="n">
        <v>0</v>
      </c>
      <c r="M23" s="12" t="n">
        <v>3</v>
      </c>
      <c r="N23" s="12" t="n">
        <v>7</v>
      </c>
      <c r="O23" s="12" t="n">
        <v>6</v>
      </c>
      <c r="P23" s="12" t="n">
        <v>6</v>
      </c>
      <c r="Q23" s="12" t="inlineStr">
        <is>
          <t>2026-02-19</t>
        </is>
      </c>
      <c r="R23" s="12" t="inlineStr">
        <is>
          <t>UCAM</t>
        </is>
      </c>
      <c r="S23" s="12" t="inlineStr">
        <is>
          <t>Haven_Cypher,Neon,Omen,Sova,Yoru</t>
        </is>
      </c>
    </row>
    <row r="24">
      <c r="A24" s="8" t="inlineStr">
        <is>
          <t>0b839669-3599-4397-b854-cfa50df59d32</t>
        </is>
      </c>
      <c r="B24" s="8" t="inlineStr">
        <is>
          <t>Bind</t>
        </is>
      </c>
      <c r="C24" s="8" t="inlineStr">
        <is>
          <t>FOKUS</t>
        </is>
      </c>
      <c r="D24" s="8" t="inlineStr">
        <is>
          <t>UCAM</t>
        </is>
      </c>
      <c r="E24" s="8" t="inlineStr">
        <is>
          <t>Brimstone,Fade,Raze,Viper,Yoru</t>
        </is>
      </c>
      <c r="F24" s="8" t="inlineStr">
        <is>
          <t>Brimstone,Chamber,Raze,Skye,Viper</t>
        </is>
      </c>
      <c r="G24" s="8" t="n">
        <v>13</v>
      </c>
      <c r="H24" s="8" t="n">
        <v>11</v>
      </c>
      <c r="I24" s="8" t="n">
        <v>5</v>
      </c>
      <c r="J24" s="8" t="n">
        <v>7</v>
      </c>
      <c r="K24" s="8" t="n">
        <v>1</v>
      </c>
      <c r="L24" s="8" t="n">
        <v>0</v>
      </c>
      <c r="M24" s="8" t="n">
        <v>5</v>
      </c>
      <c r="N24" s="8" t="n">
        <v>7</v>
      </c>
      <c r="O24" s="8" t="n">
        <v>8</v>
      </c>
      <c r="P24" s="8" t="n">
        <v>4</v>
      </c>
      <c r="Q24" s="8" t="inlineStr">
        <is>
          <t>2026-02-19</t>
        </is>
      </c>
      <c r="R24" s="8" t="inlineStr">
        <is>
          <t>FOKUS</t>
        </is>
      </c>
      <c r="S24" s="8" t="inlineStr">
        <is>
          <t>Bind_Brimstone,Fade,Raze,Viper,Yoru</t>
        </is>
      </c>
    </row>
    <row r="25">
      <c r="A25" s="12" t="inlineStr">
        <is>
          <t>0a248793-a692-4c20-8be9-7c0bd9e056ea</t>
        </is>
      </c>
      <c r="B25" s="12" t="inlineStr">
        <is>
          <t>Abyss</t>
        </is>
      </c>
      <c r="C25" s="12" t="inlineStr">
        <is>
          <t>FOKUS</t>
        </is>
      </c>
      <c r="D25" s="12" t="inlineStr">
        <is>
          <t>CGN</t>
        </is>
      </c>
      <c r="E25" s="12" t="inlineStr">
        <is>
          <t>Astra,Sova,Veto,Waylay,Yoru</t>
        </is>
      </c>
      <c r="F25" s="12" t="inlineStr">
        <is>
          <t>Astra,Sova,Tejo,Veto,Waylay</t>
        </is>
      </c>
      <c r="G25" s="12" t="n">
        <v>12</v>
      </c>
      <c r="H25" s="12" t="n">
        <v>14</v>
      </c>
      <c r="I25" s="12" t="n">
        <v>4</v>
      </c>
      <c r="J25" s="12" t="n">
        <v>8</v>
      </c>
      <c r="K25" s="12" t="n">
        <v>1</v>
      </c>
      <c r="L25" s="12" t="n">
        <v>1</v>
      </c>
      <c r="M25" s="12" t="n">
        <v>4</v>
      </c>
      <c r="N25" s="12" t="n">
        <v>9</v>
      </c>
      <c r="O25" s="12" t="n">
        <v>8</v>
      </c>
      <c r="P25" s="12" t="n">
        <v>5</v>
      </c>
      <c r="Q25" s="12" t="inlineStr">
        <is>
          <t>2026-02-09</t>
        </is>
      </c>
      <c r="R25" s="12" t="inlineStr">
        <is>
          <t>CGN</t>
        </is>
      </c>
      <c r="S25" s="12" t="inlineStr">
        <is>
          <t>Abyss_Astra,Sova,Veto,Waylay,Yoru</t>
        </is>
      </c>
    </row>
    <row r="26">
      <c r="A26" s="8" t="inlineStr">
        <is>
          <t>dada73b7-50c6-4330-958e-8cbbfb175634</t>
        </is>
      </c>
      <c r="B26" s="8" t="inlineStr">
        <is>
          <t>Haven</t>
        </is>
      </c>
      <c r="C26" s="8" t="inlineStr">
        <is>
          <t>FOKUS</t>
        </is>
      </c>
      <c r="D26" s="8" t="inlineStr">
        <is>
          <t>CGN</t>
        </is>
      </c>
      <c r="E26" s="8" t="inlineStr">
        <is>
          <t>Cypher,Neon,Omen,Sova,Yoru</t>
        </is>
      </c>
      <c r="F26" s="8" t="inlineStr">
        <is>
          <t>Breach,Cypher,Neon,Omen,Sova</t>
        </is>
      </c>
      <c r="G26" s="8" t="n">
        <v>7</v>
      </c>
      <c r="H26" s="8" t="n">
        <v>13</v>
      </c>
      <c r="I26" s="8" t="n">
        <v>3</v>
      </c>
      <c r="J26" s="8" t="n">
        <v>9</v>
      </c>
      <c r="K26" s="8" t="n">
        <v>0</v>
      </c>
      <c r="L26" s="8" t="n">
        <v>1</v>
      </c>
      <c r="M26" s="8" t="n">
        <v>4</v>
      </c>
      <c r="N26" s="8" t="n">
        <v>4</v>
      </c>
      <c r="O26" s="8" t="n">
        <v>3</v>
      </c>
      <c r="P26" s="8" t="n">
        <v>9</v>
      </c>
      <c r="Q26" s="8" t="inlineStr">
        <is>
          <t>2026-02-09</t>
        </is>
      </c>
      <c r="R26" s="8" t="inlineStr">
        <is>
          <t>CGN</t>
        </is>
      </c>
      <c r="S26" s="8" t="inlineStr">
        <is>
          <t>Haven_Cypher,Neon,Omen,Sova,Yoru</t>
        </is>
      </c>
    </row>
    <row r="27">
      <c r="A27" s="12" t="inlineStr">
        <is>
          <t>efb962fe-8292-4b05-8113-4a8f79fa5a8b</t>
        </is>
      </c>
      <c r="B27" s="12" t="inlineStr">
        <is>
          <t>Breeze</t>
        </is>
      </c>
      <c r="C27" s="12" t="inlineStr">
        <is>
          <t>FOKUS</t>
        </is>
      </c>
      <c r="D27" s="12" t="inlineStr">
        <is>
          <t>CGN</t>
        </is>
      </c>
      <c r="E27" s="12" t="inlineStr">
        <is>
          <t>Astra,Neon,Sova,Viper,Yoru</t>
        </is>
      </c>
      <c r="F27" s="12" t="inlineStr">
        <is>
          <t>Jett,Omen,Skye,Sova,Viper</t>
        </is>
      </c>
      <c r="G27" s="12" t="n">
        <v>13</v>
      </c>
      <c r="H27" s="12" t="n">
        <v>9</v>
      </c>
      <c r="I27" s="12" t="n">
        <v>7</v>
      </c>
      <c r="J27" s="12" t="n">
        <v>5</v>
      </c>
      <c r="K27" s="12" t="n">
        <v>0</v>
      </c>
      <c r="L27" s="12" t="n">
        <v>0</v>
      </c>
      <c r="M27" s="12" t="n">
        <v>6</v>
      </c>
      <c r="N27" s="12" t="n">
        <v>4</v>
      </c>
      <c r="O27" s="12" t="n">
        <v>7</v>
      </c>
      <c r="P27" s="12" t="n">
        <v>5</v>
      </c>
      <c r="Q27" s="12" t="inlineStr">
        <is>
          <t>2026-02-09</t>
        </is>
      </c>
      <c r="R27" s="12" t="inlineStr">
        <is>
          <t>FOKUS</t>
        </is>
      </c>
      <c r="S27" s="12" t="inlineStr">
        <is>
          <t>Breeze_Astra,Neon,Sova,Viper,Yoru</t>
        </is>
      </c>
    </row>
    <row r="28">
      <c r="A28" s="8" t="inlineStr">
        <is>
          <t>346d5ff3-a10d-4282-b076-c14bbf762d01</t>
        </is>
      </c>
      <c r="B28" s="8" t="inlineStr">
        <is>
          <t>Haven</t>
        </is>
      </c>
      <c r="C28" s="8" t="inlineStr">
        <is>
          <t>FOKUS</t>
        </is>
      </c>
      <c r="D28" s="8" t="inlineStr">
        <is>
          <t>ATN</t>
        </is>
      </c>
      <c r="E28" s="8" t="inlineStr">
        <is>
          <t>Cypher,Neon,Omen,Sova,Yoru</t>
        </is>
      </c>
      <c r="F28" s="8" t="inlineStr">
        <is>
          <t>Breach,Chamber,Neon,Omen,Sova</t>
        </is>
      </c>
      <c r="G28" s="8" t="n">
        <v>13</v>
      </c>
      <c r="H28" s="8" t="n">
        <v>5</v>
      </c>
      <c r="I28" s="8" t="n">
        <v>7</v>
      </c>
      <c r="J28" s="8" t="n">
        <v>5</v>
      </c>
      <c r="K28" s="8" t="n">
        <v>1</v>
      </c>
      <c r="L28" s="8" t="n">
        <v>0</v>
      </c>
      <c r="M28" s="8" t="n">
        <v>6</v>
      </c>
      <c r="N28" s="8" t="n">
        <v>0</v>
      </c>
      <c r="O28" s="8" t="n">
        <v>7</v>
      </c>
      <c r="P28" s="8" t="n">
        <v>5</v>
      </c>
      <c r="Q28" s="8" t="inlineStr">
        <is>
          <t>2026-02-08</t>
        </is>
      </c>
      <c r="R28" s="8" t="inlineStr">
        <is>
          <t>FOKUS</t>
        </is>
      </c>
      <c r="S28" s="8" t="inlineStr">
        <is>
          <t>Haven_Cypher,Neon,Omen,Sova,Yoru</t>
        </is>
      </c>
    </row>
    <row r="29">
      <c r="A29" s="12" t="inlineStr">
        <is>
          <t>b39fd1eb-97b2-41f4-998d-a24649106a4d</t>
        </is>
      </c>
      <c r="B29" s="12" t="inlineStr">
        <is>
          <t>Bind</t>
        </is>
      </c>
      <c r="C29" s="12" t="inlineStr">
        <is>
          <t>FOKUS</t>
        </is>
      </c>
      <c r="D29" s="12" t="inlineStr">
        <is>
          <t>ATN</t>
        </is>
      </c>
      <c r="E29" s="12" t="inlineStr">
        <is>
          <t>Brimstone,Fade,Raze,Viper,Yoru</t>
        </is>
      </c>
      <c r="F29" s="12" t="inlineStr">
        <is>
          <t>Astra,Chamber,Raze,Skye,Waylay</t>
        </is>
      </c>
      <c r="G29" s="12" t="n">
        <v>13</v>
      </c>
      <c r="H29" s="12" t="n">
        <v>4</v>
      </c>
      <c r="I29" s="12" t="n">
        <v>9</v>
      </c>
      <c r="J29" s="12" t="n">
        <v>3</v>
      </c>
      <c r="K29" s="12" t="n">
        <v>0</v>
      </c>
      <c r="L29" s="12" t="n">
        <v>1</v>
      </c>
      <c r="M29" s="12" t="n">
        <v>9</v>
      </c>
      <c r="N29" s="12" t="n">
        <v>3</v>
      </c>
      <c r="O29" s="12" t="n">
        <v>4</v>
      </c>
      <c r="P29" s="12" t="n">
        <v>1</v>
      </c>
      <c r="Q29" s="12" t="inlineStr">
        <is>
          <t>2026-02-08</t>
        </is>
      </c>
      <c r="R29" s="12" t="inlineStr">
        <is>
          <t>FOKUS</t>
        </is>
      </c>
      <c r="S29" s="12" t="inlineStr">
        <is>
          <t>Bind_Brimstone,Fade,Raze,Viper,Yoru</t>
        </is>
      </c>
    </row>
    <row r="30">
      <c r="A30" s="8" t="inlineStr">
        <is>
          <t>f3736b8c-af86-4c9a-9906-9ca7eaa1c4ed</t>
        </is>
      </c>
      <c r="B30" s="8" t="inlineStr">
        <is>
          <t>Corrode</t>
        </is>
      </c>
      <c r="C30" s="8" t="inlineStr">
        <is>
          <t>FOKUS</t>
        </is>
      </c>
      <c r="D30" s="8" t="inlineStr">
        <is>
          <t>ATN</t>
        </is>
      </c>
      <c r="E30" s="8" t="inlineStr">
        <is>
          <t>Fade,Omen,Viper,Waylay,Yoru</t>
        </is>
      </c>
      <c r="F30" s="8" t="inlineStr">
        <is>
          <t>Chamber,Fade,Neon,Omen,Yoru</t>
        </is>
      </c>
      <c r="G30" s="8" t="n">
        <v>6</v>
      </c>
      <c r="H30" s="8" t="n">
        <v>13</v>
      </c>
      <c r="I30" s="8" t="n">
        <v>4</v>
      </c>
      <c r="J30" s="8" t="n">
        <v>8</v>
      </c>
      <c r="K30" s="8" t="n">
        <v>1</v>
      </c>
      <c r="L30" s="8" t="n">
        <v>0</v>
      </c>
      <c r="M30" s="8" t="n">
        <v>4</v>
      </c>
      <c r="N30" s="8" t="n">
        <v>8</v>
      </c>
      <c r="O30" s="8" t="n">
        <v>2</v>
      </c>
      <c r="P30" s="8" t="n">
        <v>5</v>
      </c>
      <c r="Q30" s="8" t="inlineStr">
        <is>
          <t>2026-02-08</t>
        </is>
      </c>
      <c r="R30" s="8" t="inlineStr">
        <is>
          <t>ATN</t>
        </is>
      </c>
      <c r="S30" s="8" t="inlineStr">
        <is>
          <t>Corrode_Fade,Omen,Viper,Waylay,Yoru</t>
        </is>
      </c>
    </row>
    <row r="31">
      <c r="A31" s="12" t="inlineStr">
        <is>
          <t>225cb9d4-7df5-40c4-8d62-ab3253b5bccd</t>
        </is>
      </c>
      <c r="B31" s="12" t="inlineStr">
        <is>
          <t>Corrode</t>
        </is>
      </c>
      <c r="C31" s="12" t="inlineStr">
        <is>
          <t>FOKUS</t>
        </is>
      </c>
      <c r="D31" s="12" t="inlineStr">
        <is>
          <t>SGE</t>
        </is>
      </c>
      <c r="E31" s="12" t="inlineStr">
        <is>
          <t>Fade,Omen,Viper,Waylay,Yoru</t>
        </is>
      </c>
      <c r="F31" s="12" t="inlineStr">
        <is>
          <t>Astra,Fade,Phoenix,Veto,Yoru</t>
        </is>
      </c>
      <c r="G31" s="12" t="n">
        <v>13</v>
      </c>
      <c r="H31" s="12" t="n">
        <v>10</v>
      </c>
      <c r="I31" s="12" t="n">
        <v>8</v>
      </c>
      <c r="J31" s="12" t="n">
        <v>4</v>
      </c>
      <c r="K31" s="12" t="n">
        <v>1</v>
      </c>
      <c r="L31" s="12" t="n">
        <v>0</v>
      </c>
      <c r="M31" s="12" t="n">
        <v>8</v>
      </c>
      <c r="N31" s="12" t="n">
        <v>4</v>
      </c>
      <c r="O31" s="12" t="n">
        <v>5</v>
      </c>
      <c r="P31" s="12" t="n">
        <v>6</v>
      </c>
      <c r="Q31" s="12" t="inlineStr">
        <is>
          <t>2026-02-01</t>
        </is>
      </c>
      <c r="R31" s="12" t="inlineStr">
        <is>
          <t>FOKUS</t>
        </is>
      </c>
      <c r="S31" s="12" t="inlineStr">
        <is>
          <t>Corrode_Fade,Omen,Viper,Waylay,Yoru</t>
        </is>
      </c>
    </row>
    <row r="32">
      <c r="A32" s="8" t="inlineStr">
        <is>
          <t>8abc3599-746b-489a-ab51-e8dd2da1f2ee</t>
        </is>
      </c>
      <c r="B32" s="8" t="inlineStr">
        <is>
          <t>Haven</t>
        </is>
      </c>
      <c r="C32" s="8" t="inlineStr">
        <is>
          <t>FOKUS</t>
        </is>
      </c>
      <c r="D32" s="8" t="inlineStr">
        <is>
          <t>SGE</t>
        </is>
      </c>
      <c r="E32" s="8" t="inlineStr">
        <is>
          <t>Cypher,Neon,Omen,Sova,Yoru</t>
        </is>
      </c>
      <c r="F32" s="8" t="inlineStr">
        <is>
          <t>Killjoy,Neon,Omen,Sova,Viper</t>
        </is>
      </c>
      <c r="G32" s="8" t="n">
        <v>13</v>
      </c>
      <c r="H32" s="8" t="n">
        <v>8</v>
      </c>
      <c r="I32" s="8" t="n">
        <v>7</v>
      </c>
      <c r="J32" s="8" t="n">
        <v>5</v>
      </c>
      <c r="K32" s="8" t="n">
        <v>1</v>
      </c>
      <c r="L32" s="8" t="n">
        <v>0</v>
      </c>
      <c r="M32" s="8" t="n">
        <v>6</v>
      </c>
      <c r="N32" s="8" t="n">
        <v>3</v>
      </c>
      <c r="O32" s="8" t="n">
        <v>7</v>
      </c>
      <c r="P32" s="8" t="n">
        <v>5</v>
      </c>
      <c r="Q32" s="8" t="inlineStr">
        <is>
          <t>2026-02-01</t>
        </is>
      </c>
      <c r="R32" s="8" t="inlineStr">
        <is>
          <t>FOKUS</t>
        </is>
      </c>
      <c r="S32" s="8" t="inlineStr">
        <is>
          <t>Haven_Cypher,Neon,Omen,Sova,Yoru</t>
        </is>
      </c>
    </row>
    <row r="33">
      <c r="A33" s="12" t="inlineStr">
        <is>
          <t>4f384665-abc0-4d4e-a46a-1295fa024c96</t>
        </is>
      </c>
      <c r="B33" s="12" t="inlineStr">
        <is>
          <t>Abyss</t>
        </is>
      </c>
      <c r="C33" s="12" t="inlineStr">
        <is>
          <t>FOKUS</t>
        </is>
      </c>
      <c r="D33" s="12" t="inlineStr">
        <is>
          <t>SGE</t>
        </is>
      </c>
      <c r="E33" s="12" t="inlineStr">
        <is>
          <t>Astra,Sova,Veto,Waylay,Yoru</t>
        </is>
      </c>
      <c r="F33" s="12" t="inlineStr">
        <is>
          <t>Astra,Sova,Veto,Waylay,Yoru</t>
        </is>
      </c>
      <c r="G33" s="12" t="n">
        <v>13</v>
      </c>
      <c r="H33" s="12" t="n">
        <v>10</v>
      </c>
      <c r="I33" s="12" t="n">
        <v>4</v>
      </c>
      <c r="J33" s="12" t="n">
        <v>8</v>
      </c>
      <c r="K33" s="12" t="n">
        <v>1</v>
      </c>
      <c r="L33" s="12" t="n">
        <v>1</v>
      </c>
      <c r="M33" s="12" t="n">
        <v>9</v>
      </c>
      <c r="N33" s="12" t="n">
        <v>2</v>
      </c>
      <c r="O33" s="12" t="n">
        <v>4</v>
      </c>
      <c r="P33" s="12" t="n">
        <v>8</v>
      </c>
      <c r="Q33" s="12" t="inlineStr">
        <is>
          <t>2026-01-26</t>
        </is>
      </c>
      <c r="R33" s="12" t="inlineStr">
        <is>
          <t>FOKUS</t>
        </is>
      </c>
      <c r="S33" s="12" t="inlineStr">
        <is>
          <t>Abyss_Astra,Sova,Veto,Waylay,Yoru</t>
        </is>
      </c>
    </row>
    <row r="34">
      <c r="A34" s="8" t="inlineStr">
        <is>
          <t>44af6d79-4f89-4504-81a4-cf5812821245</t>
        </is>
      </c>
      <c r="B34" s="8" t="inlineStr">
        <is>
          <t>Corrode</t>
        </is>
      </c>
      <c r="C34" s="8" t="inlineStr">
        <is>
          <t>FOKUS</t>
        </is>
      </c>
      <c r="D34" s="8" t="inlineStr">
        <is>
          <t>DXG</t>
        </is>
      </c>
      <c r="E34" s="8" t="inlineStr">
        <is>
          <t>Astra,Fade,Neon,Phoenix,Vyse</t>
        </is>
      </c>
      <c r="F34" s="8" t="inlineStr">
        <is>
          <t>Fade,Neon,Omen,Phoenix,Viper</t>
        </is>
      </c>
      <c r="G34" s="8" t="n">
        <v>13</v>
      </c>
      <c r="H34" s="8" t="n">
        <v>4</v>
      </c>
      <c r="I34" s="8" t="n">
        <v>10</v>
      </c>
      <c r="J34" s="8" t="n">
        <v>2</v>
      </c>
      <c r="K34" s="8" t="n">
        <v>1</v>
      </c>
      <c r="L34" s="8" t="n">
        <v>0</v>
      </c>
      <c r="M34" s="8" t="n">
        <v>10</v>
      </c>
      <c r="N34" s="8" t="n">
        <v>2</v>
      </c>
      <c r="O34" s="8" t="n">
        <v>3</v>
      </c>
      <c r="P34" s="8" t="n">
        <v>2</v>
      </c>
      <c r="Q34" s="8" t="inlineStr">
        <is>
          <t>2026-01-26</t>
        </is>
      </c>
      <c r="R34" s="8" t="inlineStr">
        <is>
          <t>FOKUS</t>
        </is>
      </c>
      <c r="S34" s="8" t="inlineStr">
        <is>
          <t>Corrode_Astra,Fade,Neon,Phoenix,Vyse</t>
        </is>
      </c>
    </row>
    <row r="35">
      <c r="A35" s="12" t="inlineStr">
        <is>
          <t>dc4e1fa3-98e3-4d15-96fc-a1dbbf639ad2</t>
        </is>
      </c>
      <c r="B35" s="12" t="inlineStr">
        <is>
          <t>Abyss</t>
        </is>
      </c>
      <c r="C35" s="12" t="inlineStr">
        <is>
          <t>FOKUS</t>
        </is>
      </c>
      <c r="D35" s="12" t="inlineStr">
        <is>
          <t>ATN</t>
        </is>
      </c>
      <c r="E35" s="12" t="inlineStr">
        <is>
          <t>Astra,Sova,Veto,Waylay,Yoru</t>
        </is>
      </c>
      <c r="F35" s="12" t="inlineStr">
        <is>
          <t>Astra,Chamber,Jett,Sova,Yoru</t>
        </is>
      </c>
      <c r="G35" s="12" t="n">
        <v>13</v>
      </c>
      <c r="H35" s="12" t="n">
        <v>2</v>
      </c>
      <c r="I35" s="12" t="n">
        <v>10</v>
      </c>
      <c r="J35" s="12" t="n">
        <v>2</v>
      </c>
      <c r="K35" s="12" t="n">
        <v>1</v>
      </c>
      <c r="L35" s="12" t="n">
        <v>1</v>
      </c>
      <c r="M35" s="12" t="n">
        <v>10</v>
      </c>
      <c r="N35" s="12" t="n">
        <v>2</v>
      </c>
      <c r="O35" s="12" t="n">
        <v>3</v>
      </c>
      <c r="P35" s="12" t="n">
        <v>0</v>
      </c>
      <c r="Q35" s="12" t="inlineStr">
        <is>
          <t>2026-01-26</t>
        </is>
      </c>
      <c r="R35" s="12" t="inlineStr">
        <is>
          <t>FOKUS</t>
        </is>
      </c>
      <c r="S35" s="12" t="inlineStr">
        <is>
          <t>Abyss_Astra,Sova,Veto,Waylay,Yoru</t>
        </is>
      </c>
    </row>
    <row r="36">
      <c r="A36" s="8" t="inlineStr">
        <is>
          <t>a1bd7228-1020-49ca-a3a1-51a7e376cfb2</t>
        </is>
      </c>
      <c r="B36" s="8" t="inlineStr">
        <is>
          <t>Abyss</t>
        </is>
      </c>
      <c r="C36" s="8" t="inlineStr">
        <is>
          <t>FOKUS</t>
        </is>
      </c>
      <c r="D36" s="8" t="inlineStr">
        <is>
          <t>CGN</t>
        </is>
      </c>
      <c r="E36" s="8" t="inlineStr">
        <is>
          <t>Astra,Sova,Veto,Waylay,Yoru</t>
        </is>
      </c>
      <c r="F36" s="8" t="inlineStr">
        <is>
          <t>Astra,Sova,Veto,Waylay,Yoru</t>
        </is>
      </c>
      <c r="G36" s="8" t="n">
        <v>13</v>
      </c>
      <c r="H36" s="8" t="n">
        <v>5</v>
      </c>
      <c r="I36" s="8" t="n">
        <v>9</v>
      </c>
      <c r="J36" s="8" t="n">
        <v>3</v>
      </c>
      <c r="K36" s="8" t="n">
        <v>1</v>
      </c>
      <c r="L36" s="8" t="n">
        <v>1</v>
      </c>
      <c r="M36" s="8" t="n">
        <v>9</v>
      </c>
      <c r="N36" s="8" t="n">
        <v>3</v>
      </c>
      <c r="O36" s="8" t="n">
        <v>4</v>
      </c>
      <c r="P36" s="8" t="n">
        <v>2</v>
      </c>
      <c r="Q36" s="8" t="inlineStr">
        <is>
          <t>2026-01-25</t>
        </is>
      </c>
      <c r="R36" s="8" t="inlineStr">
        <is>
          <t>FOKUS</t>
        </is>
      </c>
      <c r="S36" s="8" t="inlineStr">
        <is>
          <t>Abyss_Astra,Sova,Veto,Waylay,Yoru</t>
        </is>
      </c>
    </row>
    <row r="37">
      <c r="A37" s="12" t="inlineStr">
        <is>
          <t>71a412d1-d670-429c-b022-77c9c007fae6</t>
        </is>
      </c>
      <c r="B37" s="12" t="inlineStr">
        <is>
          <t>Split</t>
        </is>
      </c>
      <c r="C37" s="12" t="inlineStr">
        <is>
          <t>FOKUS</t>
        </is>
      </c>
      <c r="D37" s="12" t="inlineStr">
        <is>
          <t>CGN</t>
        </is>
      </c>
      <c r="E37" s="12" t="inlineStr">
        <is>
          <t>Omen,Raze,Skye,Veto,Viper</t>
        </is>
      </c>
      <c r="F37" s="12" t="inlineStr">
        <is>
          <t>Cypher,Fade,Omen,Raze,Sage</t>
        </is>
      </c>
      <c r="G37" s="12" t="n">
        <v>13</v>
      </c>
      <c r="H37" s="12" t="n">
        <v>6</v>
      </c>
      <c r="I37" s="12" t="n">
        <v>8</v>
      </c>
      <c r="J37" s="12" t="n">
        <v>4</v>
      </c>
      <c r="K37" s="12" t="n">
        <v>1</v>
      </c>
      <c r="L37" s="12" t="n">
        <v>0</v>
      </c>
      <c r="M37" s="12" t="n">
        <v>5</v>
      </c>
      <c r="N37" s="12" t="n">
        <v>2</v>
      </c>
      <c r="O37" s="12" t="n">
        <v>8</v>
      </c>
      <c r="P37" s="12" t="n">
        <v>4</v>
      </c>
      <c r="Q37" s="12" t="inlineStr">
        <is>
          <t>2026-01-25</t>
        </is>
      </c>
      <c r="R37" s="12" t="inlineStr">
        <is>
          <t>FOKUS</t>
        </is>
      </c>
      <c r="S37" s="12" t="inlineStr">
        <is>
          <t>Split_Omen,Raze,Skye,Veto,Viper</t>
        </is>
      </c>
    </row>
    <row r="38">
      <c r="A38" s="8" t="inlineStr">
        <is>
          <t>11e2b172-f543-47dc-8b37-f1d25b6fce87</t>
        </is>
      </c>
      <c r="B38" s="8" t="inlineStr">
        <is>
          <t>Bind</t>
        </is>
      </c>
      <c r="C38" s="8" t="inlineStr">
        <is>
          <t>FOKUS</t>
        </is>
      </c>
      <c r="D38" s="8" t="inlineStr">
        <is>
          <t>ATN</t>
        </is>
      </c>
      <c r="E38" s="8" t="inlineStr">
        <is>
          <t>Brimstone,Fade,Raze,Viper,Yoru</t>
        </is>
      </c>
      <c r="F38" s="8" t="inlineStr">
        <is>
          <t>Astra,Chamber,Raze,Skye,Waylay</t>
        </is>
      </c>
      <c r="G38" s="8" t="n">
        <v>13</v>
      </c>
      <c r="H38" s="8" t="n">
        <v>9</v>
      </c>
      <c r="I38" s="8" t="n">
        <v>3</v>
      </c>
      <c r="J38" s="8" t="n">
        <v>9</v>
      </c>
      <c r="K38" s="8" t="n">
        <v>1</v>
      </c>
      <c r="L38" s="8" t="n">
        <v>1</v>
      </c>
      <c r="M38" s="8" t="n">
        <v>3</v>
      </c>
      <c r="N38" s="8" t="n">
        <v>9</v>
      </c>
      <c r="O38" s="8" t="n">
        <v>10</v>
      </c>
      <c r="P38" s="8" t="n">
        <v>0</v>
      </c>
      <c r="Q38" s="8" t="inlineStr">
        <is>
          <t>2026-01-19</t>
        </is>
      </c>
      <c r="R38" s="8" t="inlineStr">
        <is>
          <t>FOKUS</t>
        </is>
      </c>
      <c r="S38" s="8" t="inlineStr">
        <is>
          <t>Bind_Brimstone,Fade,Raze,Viper,Yoru</t>
        </is>
      </c>
    </row>
    <row r="39">
      <c r="A39" s="12" t="inlineStr">
        <is>
          <t>5ca51915-1449-471b-821d-b5cfc8cc5cb5</t>
        </is>
      </c>
      <c r="B39" s="12" t="inlineStr">
        <is>
          <t>Split</t>
        </is>
      </c>
      <c r="C39" s="12" t="inlineStr">
        <is>
          <t>FOKUS</t>
        </is>
      </c>
      <c r="D39" s="12" t="inlineStr">
        <is>
          <t>RZN</t>
        </is>
      </c>
      <c r="E39" s="12" t="inlineStr">
        <is>
          <t>Omen,Raze,Skye,Viper,Yoru</t>
        </is>
      </c>
      <c r="F39" s="12" t="inlineStr">
        <is>
          <t>Fade,Omen,Raze,Viper,Yoru</t>
        </is>
      </c>
      <c r="G39" s="12" t="n">
        <v>13</v>
      </c>
      <c r="H39" s="12" t="n">
        <v>7</v>
      </c>
      <c r="I39" s="12" t="n">
        <v>5</v>
      </c>
      <c r="J39" s="12" t="n">
        <v>7</v>
      </c>
      <c r="K39" s="12" t="n">
        <v>1</v>
      </c>
      <c r="L39" s="12" t="n">
        <v>1</v>
      </c>
      <c r="M39" s="12" t="n">
        <v>5</v>
      </c>
      <c r="N39" s="12" t="n">
        <v>7</v>
      </c>
      <c r="O39" s="12" t="n">
        <v>8</v>
      </c>
      <c r="P39" s="12" t="n">
        <v>0</v>
      </c>
      <c r="Q39" s="12" t="inlineStr">
        <is>
          <t>2026-01-19</t>
        </is>
      </c>
      <c r="R39" s="12" t="inlineStr">
        <is>
          <t>FOKUS</t>
        </is>
      </c>
      <c r="S39" s="12" t="inlineStr">
        <is>
          <t>Split_Omen,Raze,Skye,Viper,Yoru</t>
        </is>
      </c>
    </row>
    <row r="40">
      <c r="A40" s="8" t="inlineStr">
        <is>
          <t>cea3d447-0e22-4414-93cd-6b7e1d0d340a</t>
        </is>
      </c>
      <c r="B40" s="8" t="inlineStr">
        <is>
          <t>Corrode</t>
        </is>
      </c>
      <c r="C40" s="8" t="inlineStr">
        <is>
          <t>FOKUS</t>
        </is>
      </c>
      <c r="D40" s="8" t="inlineStr">
        <is>
          <t>6GPA</t>
        </is>
      </c>
      <c r="E40" s="8" t="inlineStr">
        <is>
          <t>Fade,Omen,Viper,Waylay,Yoru</t>
        </is>
      </c>
      <c r="F40" s="8" t="inlineStr">
        <is>
          <t>Fade,KAY/O,Omen,Viper,Waylay</t>
        </is>
      </c>
      <c r="G40" s="8" t="n">
        <v>13</v>
      </c>
      <c r="H40" s="8" t="n">
        <v>7</v>
      </c>
      <c r="I40" s="8" t="n">
        <v>7</v>
      </c>
      <c r="J40" s="8" t="n">
        <v>5</v>
      </c>
      <c r="K40" s="8" t="n">
        <v>1</v>
      </c>
      <c r="L40" s="8" t="n">
        <v>1</v>
      </c>
      <c r="M40" s="8" t="n">
        <v>7</v>
      </c>
      <c r="N40" s="8" t="n">
        <v>5</v>
      </c>
      <c r="O40" s="8" t="n">
        <v>6</v>
      </c>
      <c r="P40" s="8" t="n">
        <v>2</v>
      </c>
      <c r="Q40" s="8" t="inlineStr">
        <is>
          <t>2026-01-19</t>
        </is>
      </c>
      <c r="R40" s="8" t="inlineStr">
        <is>
          <t>FOKUS</t>
        </is>
      </c>
      <c r="S40" s="8" t="inlineStr">
        <is>
          <t>Corrode_Fade,Omen,Viper,Waylay,Yoru</t>
        </is>
      </c>
    </row>
    <row r="41">
      <c r="A41" s="12" t="inlineStr">
        <is>
          <t>168a93e8-447f-4216-9aad-b32dd36ac14f</t>
        </is>
      </c>
      <c r="B41" s="12" t="inlineStr">
        <is>
          <t>Corrode</t>
        </is>
      </c>
      <c r="C41" s="12" t="inlineStr">
        <is>
          <t>FOKUS</t>
        </is>
      </c>
      <c r="D41" s="12" t="inlineStr">
        <is>
          <t>RZN</t>
        </is>
      </c>
      <c r="E41" s="12" t="inlineStr">
        <is>
          <t>Fade,Omen,Viper,Waylay,Yoru</t>
        </is>
      </c>
      <c r="F41" s="12" t="inlineStr">
        <is>
          <t>KAY/O,Omen,Sova,Viper,Waylay</t>
        </is>
      </c>
      <c r="G41" s="12" t="n">
        <v>13</v>
      </c>
      <c r="H41" s="12" t="n">
        <v>4</v>
      </c>
      <c r="I41" s="12" t="n">
        <v>8</v>
      </c>
      <c r="J41" s="12" t="n">
        <v>4</v>
      </c>
      <c r="K41" s="12" t="n">
        <v>1</v>
      </c>
      <c r="L41" s="12" t="n">
        <v>1</v>
      </c>
      <c r="M41" s="12" t="n">
        <v>5</v>
      </c>
      <c r="N41" s="12" t="n">
        <v>0</v>
      </c>
      <c r="O41" s="12" t="n">
        <v>8</v>
      </c>
      <c r="P41" s="12" t="n">
        <v>4</v>
      </c>
      <c r="Q41" s="12" t="inlineStr">
        <is>
          <t>2026-01-17</t>
        </is>
      </c>
      <c r="R41" s="12" t="inlineStr">
        <is>
          <t>FOKUS</t>
        </is>
      </c>
      <c r="S41" s="12" t="inlineStr">
        <is>
          <t>Corrode_Fade,Omen,Viper,Waylay,Yoru</t>
        </is>
      </c>
    </row>
    <row r="42">
      <c r="A42" s="8" t="inlineStr">
        <is>
          <t>3f27c0e4-1519-4462-951a-c92320aa226b</t>
        </is>
      </c>
      <c r="B42" s="8" t="inlineStr">
        <is>
          <t>Abyss</t>
        </is>
      </c>
      <c r="C42" s="8" t="inlineStr">
        <is>
          <t>FOKUS</t>
        </is>
      </c>
      <c r="D42" s="8" t="inlineStr">
        <is>
          <t>RZN</t>
        </is>
      </c>
      <c r="E42" s="8" t="inlineStr">
        <is>
          <t>Astra,Reyna,Sova,Waylay,Yoru</t>
        </is>
      </c>
      <c r="F42" s="8" t="inlineStr">
        <is>
          <t>Astra,Breach,Jett,Sova,Tejo</t>
        </is>
      </c>
      <c r="G42" s="8" t="n">
        <v>13</v>
      </c>
      <c r="H42" s="8" t="n">
        <v>10</v>
      </c>
      <c r="I42" s="8" t="n">
        <v>7</v>
      </c>
      <c r="J42" s="8" t="n">
        <v>5</v>
      </c>
      <c r="K42" s="8" t="n">
        <v>0</v>
      </c>
      <c r="L42" s="8" t="n">
        <v>1</v>
      </c>
      <c r="M42" s="8" t="n">
        <v>7</v>
      </c>
      <c r="N42" s="8" t="n">
        <v>5</v>
      </c>
      <c r="O42" s="8" t="n">
        <v>6</v>
      </c>
      <c r="P42" s="8" t="n">
        <v>5</v>
      </c>
      <c r="Q42" s="8" t="inlineStr">
        <is>
          <t>2026-01-17</t>
        </is>
      </c>
      <c r="R42" s="8" t="inlineStr">
        <is>
          <t>FOKUS</t>
        </is>
      </c>
      <c r="S42" s="8" t="inlineStr">
        <is>
          <t>Abyss_Astra,Reyna,Sova,Waylay,Yoru</t>
        </is>
      </c>
    </row>
    <row r="43">
      <c r="A43" s="12" t="inlineStr">
        <is>
          <t>f146170a-8980-4544-93ec-8ad473392e2d</t>
        </is>
      </c>
      <c r="B43" s="12" t="inlineStr">
        <is>
          <t>Abyss</t>
        </is>
      </c>
      <c r="C43" s="12" t="inlineStr">
        <is>
          <t>FOKUS</t>
        </is>
      </c>
      <c r="D43" s="12" t="inlineStr">
        <is>
          <t>RZN</t>
        </is>
      </c>
      <c r="E43" s="12" t="inlineStr">
        <is>
          <t>Astra,Reyna,Sova,Waylay,Yoru</t>
        </is>
      </c>
      <c r="F43" s="12" t="inlineStr">
        <is>
          <t>Astra,Cypher,Jett,KAY/O,Sova</t>
        </is>
      </c>
      <c r="G43" s="12" t="n">
        <v>13</v>
      </c>
      <c r="H43" s="12" t="n">
        <v>6</v>
      </c>
      <c r="I43" s="12" t="n">
        <v>7</v>
      </c>
      <c r="J43" s="12" t="n">
        <v>5</v>
      </c>
      <c r="K43" s="12" t="n">
        <v>0</v>
      </c>
      <c r="L43" s="12" t="n">
        <v>0</v>
      </c>
      <c r="M43" s="12" t="n">
        <v>7</v>
      </c>
      <c r="N43" s="12" t="n">
        <v>5</v>
      </c>
      <c r="O43" s="12" t="n">
        <v>6</v>
      </c>
      <c r="P43" s="12" t="n">
        <v>1</v>
      </c>
      <c r="Q43" s="12" t="inlineStr">
        <is>
          <t>2026-01-15</t>
        </is>
      </c>
      <c r="R43" s="12" t="inlineStr">
        <is>
          <t>FOKUS</t>
        </is>
      </c>
      <c r="S43" s="12" t="inlineStr">
        <is>
          <t>Abyss_Astra,Reyna,Sova,Waylay,Yoru</t>
        </is>
      </c>
    </row>
    <row r="44">
      <c r="A44" s="8" t="inlineStr">
        <is>
          <t>c2d26138-4ee8-4c0e-9250-9ddedf9e300b</t>
        </is>
      </c>
      <c r="B44" s="8" t="inlineStr">
        <is>
          <t>Bind</t>
        </is>
      </c>
      <c r="C44" s="8" t="inlineStr">
        <is>
          <t>FOKUS</t>
        </is>
      </c>
      <c r="D44" s="8" t="inlineStr">
        <is>
          <t>DXG</t>
        </is>
      </c>
      <c r="E44" s="8" t="inlineStr">
        <is>
          <t>Brimstone,Fade,Raze,Viper,Yoru</t>
        </is>
      </c>
      <c r="F44" s="8" t="inlineStr">
        <is>
          <t>Brimstone,Fade,KAY/O,Raze,Viper</t>
        </is>
      </c>
      <c r="G44" s="8" t="n">
        <v>13</v>
      </c>
      <c r="H44" s="8" t="n">
        <v>6</v>
      </c>
      <c r="I44" s="8" t="n">
        <v>7</v>
      </c>
      <c r="J44" s="8" t="n">
        <v>5</v>
      </c>
      <c r="K44" s="8" t="n">
        <v>0</v>
      </c>
      <c r="L44" s="8" t="n">
        <v>1</v>
      </c>
      <c r="M44" s="8" t="n">
        <v>7</v>
      </c>
      <c r="N44" s="8" t="n">
        <v>5</v>
      </c>
      <c r="O44" s="8" t="n">
        <v>6</v>
      </c>
      <c r="P44" s="8" t="n">
        <v>1</v>
      </c>
      <c r="Q44" s="8" t="inlineStr">
        <is>
          <t>2026-01-15</t>
        </is>
      </c>
      <c r="R44" s="8" t="inlineStr">
        <is>
          <t>FOKUS</t>
        </is>
      </c>
      <c r="S44" s="8" t="inlineStr">
        <is>
          <t>Bind_Brimstone,Fade,Raze,Viper,Yoru</t>
        </is>
      </c>
    </row>
    <row r="45">
      <c r="A45" s="12" t="inlineStr">
        <is>
          <t>026f5435-c303-4f77-be11-be97b0add9fc</t>
        </is>
      </c>
      <c r="B45" s="12" t="inlineStr">
        <is>
          <t>Abyss</t>
        </is>
      </c>
      <c r="C45" s="12" t="inlineStr">
        <is>
          <t>FOKUS</t>
        </is>
      </c>
      <c r="D45" s="12" t="inlineStr">
        <is>
          <t>SGE</t>
        </is>
      </c>
      <c r="E45" s="12" t="inlineStr">
        <is>
          <t>Astra,Reyna,Sova,Waylay,Yoru</t>
        </is>
      </c>
      <c r="F45" s="12" t="inlineStr">
        <is>
          <t>Astra,Sova,Veto,Waylay,Yoru</t>
        </is>
      </c>
      <c r="G45" s="12" t="n">
        <v>5</v>
      </c>
      <c r="H45" s="12" t="n">
        <v>13</v>
      </c>
      <c r="I45" s="12" t="n">
        <v>5</v>
      </c>
      <c r="J45" s="12" t="n">
        <v>7</v>
      </c>
      <c r="K45" s="12" t="n">
        <v>0</v>
      </c>
      <c r="L45" s="12" t="n">
        <v>0</v>
      </c>
      <c r="M45" s="12" t="n">
        <v>5</v>
      </c>
      <c r="N45" s="12" t="n">
        <v>7</v>
      </c>
      <c r="O45" s="12" t="n">
        <v>0</v>
      </c>
      <c r="P45" s="12" t="n">
        <v>6</v>
      </c>
      <c r="Q45" s="12" t="inlineStr">
        <is>
          <t>2026-01-15</t>
        </is>
      </c>
      <c r="R45" s="12" t="inlineStr">
        <is>
          <t>SGE</t>
        </is>
      </c>
      <c r="S45" s="12" t="inlineStr">
        <is>
          <t>Abyss_Astra,Reyna,Sova,Waylay,Yoru</t>
        </is>
      </c>
    </row>
    <row r="46">
      <c r="A46" s="8" t="inlineStr">
        <is>
          <t>251458f5-e226-4f91-9105-495585aa6e4e</t>
        </is>
      </c>
      <c r="B46" s="8" t="inlineStr">
        <is>
          <t>Haven</t>
        </is>
      </c>
      <c r="C46" s="8" t="inlineStr">
        <is>
          <t>FOKUS</t>
        </is>
      </c>
      <c r="D46" s="8" t="inlineStr">
        <is>
          <t>SGE</t>
        </is>
      </c>
      <c r="E46" s="8" t="inlineStr">
        <is>
          <t>Killjoy,Neon,Omen,Sova,Viper</t>
        </is>
      </c>
      <c r="F46" s="8" t="inlineStr">
        <is>
          <t>Killjoy,Neon,Omen,Sova,Viper</t>
        </is>
      </c>
      <c r="G46" s="8" t="n">
        <v>9</v>
      </c>
      <c r="H46" s="8" t="n">
        <v>13</v>
      </c>
      <c r="I46" s="8" t="n">
        <v>5</v>
      </c>
      <c r="J46" s="8" t="n">
        <v>7</v>
      </c>
      <c r="K46" s="8" t="n">
        <v>1</v>
      </c>
      <c r="L46" s="8" t="n">
        <v>1</v>
      </c>
      <c r="M46" s="8" t="n">
        <v>4</v>
      </c>
      <c r="N46" s="8" t="n">
        <v>6</v>
      </c>
      <c r="O46" s="8" t="n">
        <v>5</v>
      </c>
      <c r="P46" s="8" t="n">
        <v>7</v>
      </c>
      <c r="Q46" s="8" t="inlineStr">
        <is>
          <t>2026-01-12</t>
        </is>
      </c>
      <c r="R46" s="8" t="inlineStr">
        <is>
          <t>SGE</t>
        </is>
      </c>
      <c r="S46" s="8" t="inlineStr">
        <is>
          <t>Haven_Killjoy,Neon,Omen,Sova,Viper</t>
        </is>
      </c>
    </row>
    <row r="47">
      <c r="A47" s="12" t="inlineStr">
        <is>
          <t>d47a35b8-c62e-4edc-b7f5-a38f12a06375</t>
        </is>
      </c>
      <c r="B47" s="12" t="inlineStr">
        <is>
          <t>Haven</t>
        </is>
      </c>
      <c r="C47" s="12" t="inlineStr">
        <is>
          <t>FOKUS</t>
        </is>
      </c>
      <c r="D47" s="12" t="inlineStr">
        <is>
          <t>RZN</t>
        </is>
      </c>
      <c r="E47" s="12" t="inlineStr">
        <is>
          <t>Killjoy,Neon,Omen,Sova,Viper</t>
        </is>
      </c>
      <c r="F47" s="12" t="inlineStr">
        <is>
          <t>Cypher,Deadlock,Omen,Tejo,Yoru</t>
        </is>
      </c>
      <c r="G47" s="12" t="n">
        <v>13</v>
      </c>
      <c r="H47" s="12" t="n">
        <v>5</v>
      </c>
      <c r="I47" s="12" t="n">
        <v>7</v>
      </c>
      <c r="J47" s="12" t="n">
        <v>5</v>
      </c>
      <c r="K47" s="12" t="n">
        <v>1</v>
      </c>
      <c r="L47" s="12" t="n">
        <v>0</v>
      </c>
      <c r="M47" s="12" t="n">
        <v>6</v>
      </c>
      <c r="N47" s="12" t="n">
        <v>0</v>
      </c>
      <c r="O47" s="12" t="n">
        <v>7</v>
      </c>
      <c r="P47" s="12" t="n">
        <v>5</v>
      </c>
      <c r="Q47" s="12" t="inlineStr">
        <is>
          <t>2026-01-12</t>
        </is>
      </c>
      <c r="R47" s="12" t="inlineStr">
        <is>
          <t>FOKUS</t>
        </is>
      </c>
      <c r="S47" s="12" t="inlineStr">
        <is>
          <t>Haven_Killjoy,Neon,Omen,Sova,Viper</t>
        </is>
      </c>
    </row>
    <row r="48">
      <c r="A48" s="8" t="inlineStr">
        <is>
          <t>63ef3ce4-bed1-49da-b13b-8d80756f98bb</t>
        </is>
      </c>
      <c r="B48" s="8" t="inlineStr">
        <is>
          <t>Bind</t>
        </is>
      </c>
      <c r="C48" s="8" t="inlineStr">
        <is>
          <t>FOKUS</t>
        </is>
      </c>
      <c r="D48" s="8" t="inlineStr">
        <is>
          <t>BDX</t>
        </is>
      </c>
      <c r="E48" s="8" t="inlineStr">
        <is>
          <t>Brimstone,Fade,Raze,Viper,Yoru</t>
        </is>
      </c>
      <c r="F48" s="8" t="inlineStr">
        <is>
          <t>Astra,Fade,Raze,Skye,Viper</t>
        </is>
      </c>
      <c r="G48" s="8" t="n">
        <v>13</v>
      </c>
      <c r="H48" s="8" t="n">
        <v>6</v>
      </c>
      <c r="I48" s="8" t="n">
        <v>9</v>
      </c>
      <c r="J48" s="8" t="n">
        <v>3</v>
      </c>
      <c r="K48" s="8" t="n">
        <v>0</v>
      </c>
      <c r="L48" s="8" t="n">
        <v>0</v>
      </c>
      <c r="M48" s="8" t="n">
        <v>9</v>
      </c>
      <c r="N48" s="8" t="n">
        <v>3</v>
      </c>
      <c r="O48" s="8" t="n">
        <v>4</v>
      </c>
      <c r="P48" s="8" t="n">
        <v>3</v>
      </c>
      <c r="Q48" s="8" t="inlineStr">
        <is>
          <t>2026-01-12</t>
        </is>
      </c>
      <c r="R48" s="8" t="inlineStr">
        <is>
          <t>FOKUS</t>
        </is>
      </c>
      <c r="S48" s="8" t="inlineStr">
        <is>
          <t>Bind_Brimstone,Fade,Raze,Viper,Yoru</t>
        </is>
      </c>
    </row>
    <row r="49">
      <c r="A49" s="12" t="inlineStr">
        <is>
          <t>99540cbf-5ce1-468a-a75b-cad599a066f1</t>
        </is>
      </c>
      <c r="B49" s="12" t="inlineStr">
        <is>
          <t>Split</t>
        </is>
      </c>
      <c r="C49" s="12" t="inlineStr">
        <is>
          <t>FOKUS</t>
        </is>
      </c>
      <c r="D49" s="12" t="inlineStr">
        <is>
          <t>DXG</t>
        </is>
      </c>
      <c r="E49" s="12" t="inlineStr">
        <is>
          <t>Omen,Raze,Skye,Viper,Yoru</t>
        </is>
      </c>
      <c r="F49" s="12" t="inlineStr">
        <is>
          <t>Fade,Omen,Raze,Viper,Yoru</t>
        </is>
      </c>
      <c r="G49" s="12" t="n">
        <v>13</v>
      </c>
      <c r="H49" s="12" t="n">
        <v>3</v>
      </c>
      <c r="I49" s="12" t="n">
        <v>9</v>
      </c>
      <c r="J49" s="12" t="n">
        <v>3</v>
      </c>
      <c r="K49" s="12" t="n">
        <v>1</v>
      </c>
      <c r="L49" s="12" t="n">
        <v>0</v>
      </c>
      <c r="M49" s="12" t="n">
        <v>4</v>
      </c>
      <c r="N49" s="12" t="n">
        <v>0</v>
      </c>
      <c r="O49" s="12" t="n">
        <v>9</v>
      </c>
      <c r="P49" s="12" t="n">
        <v>3</v>
      </c>
      <c r="Q49" s="12" t="inlineStr">
        <is>
          <t>2026-01-11</t>
        </is>
      </c>
      <c r="R49" s="12" t="inlineStr">
        <is>
          <t>FOKUS</t>
        </is>
      </c>
      <c r="S49" s="12" t="inlineStr">
        <is>
          <t>Split_Omen,Raze,Skye,Viper,Yoru</t>
        </is>
      </c>
    </row>
    <row r="50">
      <c r="A50" s="8" t="inlineStr">
        <is>
          <t>3b4f89bd-5eb9-4514-afc0-999106e723ef</t>
        </is>
      </c>
      <c r="B50" s="8" t="inlineStr">
        <is>
          <t>Bind</t>
        </is>
      </c>
      <c r="C50" s="8" t="inlineStr">
        <is>
          <t>FOKUS</t>
        </is>
      </c>
      <c r="D50" s="8" t="inlineStr">
        <is>
          <t>DXG</t>
        </is>
      </c>
      <c r="E50" s="8" t="inlineStr">
        <is>
          <t>Brimstone,Fade,Raze,Viper,Yoru</t>
        </is>
      </c>
      <c r="F50" s="8" t="inlineStr">
        <is>
          <t>Brimstone,Fade,KAY/O,Raze,Viper</t>
        </is>
      </c>
      <c r="G50" s="8" t="n">
        <v>13</v>
      </c>
      <c r="H50" s="8" t="n">
        <v>4</v>
      </c>
      <c r="I50" s="8" t="n">
        <v>8</v>
      </c>
      <c r="J50" s="8" t="n">
        <v>4</v>
      </c>
      <c r="K50" s="8" t="n">
        <v>1</v>
      </c>
      <c r="L50" s="8" t="n">
        <v>1</v>
      </c>
      <c r="M50" s="8" t="n">
        <v>8</v>
      </c>
      <c r="N50" s="8" t="n">
        <v>4</v>
      </c>
      <c r="O50" s="8" t="n">
        <v>5</v>
      </c>
      <c r="P50" s="8" t="n">
        <v>0</v>
      </c>
      <c r="Q50" s="8" t="inlineStr">
        <is>
          <t>2026-01-11</t>
        </is>
      </c>
      <c r="R50" s="8" t="inlineStr">
        <is>
          <t>FOKUS</t>
        </is>
      </c>
      <c r="S50" s="8" t="inlineStr">
        <is>
          <t>Bind_Brimstone,Fade,Raze,Viper,Yoru</t>
        </is>
      </c>
    </row>
    <row r="51">
      <c r="A51" s="12" t="inlineStr">
        <is>
          <t>24c601b6-87ae-44c3-a46c-e776ae8c67b7</t>
        </is>
      </c>
      <c r="B51" s="12" t="inlineStr">
        <is>
          <t>Breeze</t>
        </is>
      </c>
      <c r="C51" s="12" t="inlineStr">
        <is>
          <t>Eintracht Frankfurt</t>
        </is>
      </c>
      <c r="D51" s="12" t="inlineStr">
        <is>
          <t>AX</t>
        </is>
      </c>
      <c r="E51" s="12" t="inlineStr">
        <is>
          <t>Astra,Neon,Sova,Viper,Yoru</t>
        </is>
      </c>
      <c r="F51" s="12" t="inlineStr">
        <is>
          <t>Neon,Omen,Sova,Viper,Yoru</t>
        </is>
      </c>
      <c r="G51" s="12" t="n">
        <v>13</v>
      </c>
      <c r="H51" s="12" t="n">
        <v>7</v>
      </c>
      <c r="I51" s="12" t="n">
        <v>7</v>
      </c>
      <c r="J51" s="12" t="n">
        <v>5</v>
      </c>
      <c r="K51" s="12" t="n">
        <v>0</v>
      </c>
      <c r="L51" s="12" t="n">
        <v>1</v>
      </c>
      <c r="M51" s="12" t="n">
        <v>7</v>
      </c>
      <c r="N51" s="12" t="n">
        <v>5</v>
      </c>
      <c r="O51" s="12" t="n">
        <v>6</v>
      </c>
      <c r="P51" s="12" t="n">
        <v>2</v>
      </c>
      <c r="Q51" s="12" t="inlineStr">
        <is>
          <t>2026-03-10</t>
        </is>
      </c>
      <c r="R51" s="12" t="inlineStr">
        <is>
          <t>Eintracht Frankfurt</t>
        </is>
      </c>
      <c r="S51" s="12" t="inlineStr">
        <is>
          <t>Breeze_Astra,Neon,Sova,Viper,Yoru</t>
        </is>
      </c>
    </row>
    <row r="52">
      <c r="A52" s="8" t="inlineStr">
        <is>
          <t>b59ec070-66f8-49d9-86d5-4a828e99f121</t>
        </is>
      </c>
      <c r="B52" s="8" t="inlineStr">
        <is>
          <t>Split</t>
        </is>
      </c>
      <c r="C52" s="8" t="inlineStr">
        <is>
          <t>Eintracht Frankfurt</t>
        </is>
      </c>
      <c r="D52" s="8" t="inlineStr">
        <is>
          <t>AX</t>
        </is>
      </c>
      <c r="E52" s="8" t="inlineStr">
        <is>
          <t>Fade,Neon,Omen,Viper,Yoru</t>
        </is>
      </c>
      <c r="F52" s="8" t="inlineStr">
        <is>
          <t>Fade,Neon,Omen,Viper,Yoru</t>
        </is>
      </c>
      <c r="G52" s="8" t="n">
        <v>13</v>
      </c>
      <c r="H52" s="8" t="n">
        <v>7</v>
      </c>
      <c r="I52" s="8" t="n">
        <v>7</v>
      </c>
      <c r="J52" s="8" t="n">
        <v>5</v>
      </c>
      <c r="K52" s="8" t="n">
        <v>1</v>
      </c>
      <c r="L52" s="8" t="n">
        <v>1</v>
      </c>
      <c r="M52" s="8" t="n">
        <v>6</v>
      </c>
      <c r="N52" s="8" t="n">
        <v>2</v>
      </c>
      <c r="O52" s="8" t="n">
        <v>7</v>
      </c>
      <c r="P52" s="8" t="n">
        <v>5</v>
      </c>
      <c r="Q52" s="8" t="inlineStr">
        <is>
          <t>2026-03-10</t>
        </is>
      </c>
      <c r="R52" s="8" t="inlineStr">
        <is>
          <t>Eintracht Frankfurt</t>
        </is>
      </c>
      <c r="S52" s="8" t="inlineStr">
        <is>
          <t>Split_Fade,Neon,Omen,Viper,Yoru</t>
        </is>
      </c>
    </row>
    <row r="53">
      <c r="A53" s="12" t="inlineStr">
        <is>
          <t>c69e9837-9abb-4bbb-bd08-5e3c968b37ef</t>
        </is>
      </c>
      <c r="B53" s="12" t="inlineStr">
        <is>
          <t>Haven</t>
        </is>
      </c>
      <c r="C53" s="12" t="inlineStr">
        <is>
          <t>Eintracht Frankfurt</t>
        </is>
      </c>
      <c r="D53" s="12" t="inlineStr">
        <is>
          <t>AX</t>
        </is>
      </c>
      <c r="E53" s="12" t="inlineStr">
        <is>
          <t>Killjoy,Neon,Omen,Sova,Viper</t>
        </is>
      </c>
      <c r="F53" s="12" t="inlineStr">
        <is>
          <t>Cypher,Neon,Omen,Sova,Yoru</t>
        </is>
      </c>
      <c r="G53" s="12" t="n">
        <v>6</v>
      </c>
      <c r="H53" s="12" t="n">
        <v>13</v>
      </c>
      <c r="I53" s="12" t="n">
        <v>4</v>
      </c>
      <c r="J53" s="12" t="n">
        <v>8</v>
      </c>
      <c r="K53" s="12" t="n">
        <v>1</v>
      </c>
      <c r="L53" s="12" t="n">
        <v>0</v>
      </c>
      <c r="M53" s="12" t="n">
        <v>2</v>
      </c>
      <c r="N53" s="12" t="n">
        <v>5</v>
      </c>
      <c r="O53" s="12" t="n">
        <v>4</v>
      </c>
      <c r="P53" s="12" t="n">
        <v>8</v>
      </c>
      <c r="Q53" s="12" t="inlineStr">
        <is>
          <t>2026-03-10</t>
        </is>
      </c>
      <c r="R53" s="12" t="inlineStr">
        <is>
          <t>AX</t>
        </is>
      </c>
      <c r="S53" s="12" t="inlineStr">
        <is>
          <t>Haven_Killjoy,Neon,Omen,Sova,Viper</t>
        </is>
      </c>
    </row>
    <row r="54">
      <c r="A54" s="8" t="inlineStr">
        <is>
          <t>8a58d3fb-4ee0-4cbc-b09a-93ce5733c2b3</t>
        </is>
      </c>
      <c r="B54" s="8" t="inlineStr">
        <is>
          <t>Breeze</t>
        </is>
      </c>
      <c r="C54" s="8" t="inlineStr">
        <is>
          <t>Eintracht Frankfurt</t>
        </is>
      </c>
      <c r="D54" s="8" t="inlineStr">
        <is>
          <t>FKS</t>
        </is>
      </c>
      <c r="E54" s="8" t="inlineStr">
        <is>
          <t>Astra,Neon,Sova,Viper,Yoru</t>
        </is>
      </c>
      <c r="F54" s="8" t="inlineStr">
        <is>
          <t>Neon,Omen,Sova,Viper,Yoru</t>
        </is>
      </c>
      <c r="G54" s="8" t="n">
        <v>13</v>
      </c>
      <c r="H54" s="8" t="n">
        <v>10</v>
      </c>
      <c r="I54" s="8" t="n">
        <v>9</v>
      </c>
      <c r="J54" s="8" t="n">
        <v>3</v>
      </c>
      <c r="K54" s="8" t="n">
        <v>1</v>
      </c>
      <c r="L54" s="8" t="n">
        <v>1</v>
      </c>
      <c r="M54" s="8" t="n">
        <v>9</v>
      </c>
      <c r="N54" s="8" t="n">
        <v>3</v>
      </c>
      <c r="O54" s="8" t="n">
        <v>4</v>
      </c>
      <c r="P54" s="8" t="n">
        <v>7</v>
      </c>
      <c r="Q54" s="8" t="inlineStr">
        <is>
          <t>2026-03-08</t>
        </is>
      </c>
      <c r="R54" s="8" t="inlineStr">
        <is>
          <t>Eintracht Frankfurt</t>
        </is>
      </c>
      <c r="S54" s="8" t="inlineStr">
        <is>
          <t>Breeze_Astra,Neon,Sova,Viper,Yoru</t>
        </is>
      </c>
    </row>
    <row r="55">
      <c r="A55" s="12" t="inlineStr">
        <is>
          <t>80ca0e19-cd00-4b28-a36d-d62c1e6371e7</t>
        </is>
      </c>
      <c r="B55" s="12" t="inlineStr">
        <is>
          <t>Pearl</t>
        </is>
      </c>
      <c r="C55" s="12" t="inlineStr">
        <is>
          <t>Eintracht Frankfurt</t>
        </is>
      </c>
      <c r="D55" s="12" t="inlineStr">
        <is>
          <t>FKS</t>
        </is>
      </c>
      <c r="E55" s="12" t="inlineStr">
        <is>
          <t>Astra,Fade,Killjoy,Neon,Yoru</t>
        </is>
      </c>
      <c r="F55" s="12" t="inlineStr">
        <is>
          <t>Astra,Neon,Sova,Veto,Yoru</t>
        </is>
      </c>
      <c r="G55" s="12" t="n">
        <v>13</v>
      </c>
      <c r="H55" s="12" t="n">
        <v>9</v>
      </c>
      <c r="I55" s="12" t="n">
        <v>10</v>
      </c>
      <c r="J55" s="12" t="n">
        <v>2</v>
      </c>
      <c r="K55" s="12" t="n">
        <v>1</v>
      </c>
      <c r="L55" s="12" t="n">
        <v>0</v>
      </c>
      <c r="M55" s="12" t="n">
        <v>10</v>
      </c>
      <c r="N55" s="12" t="n">
        <v>2</v>
      </c>
      <c r="O55" s="12" t="n">
        <v>3</v>
      </c>
      <c r="P55" s="12" t="n">
        <v>7</v>
      </c>
      <c r="Q55" s="12" t="inlineStr">
        <is>
          <t>2026-03-08</t>
        </is>
      </c>
      <c r="R55" s="12" t="inlineStr">
        <is>
          <t>Eintracht Frankfurt</t>
        </is>
      </c>
      <c r="S55" s="12" t="inlineStr">
        <is>
          <t>Pearl_Astra,Fade,Killjoy,Neon,Yoru</t>
        </is>
      </c>
    </row>
    <row r="56">
      <c r="A56" s="8" t="inlineStr">
        <is>
          <t>d118ca02-c759-4617-a299-7f8a83180285</t>
        </is>
      </c>
      <c r="B56" s="8" t="inlineStr">
        <is>
          <t>Breeze</t>
        </is>
      </c>
      <c r="C56" s="8" t="inlineStr">
        <is>
          <t>Eintracht Frankfurt</t>
        </is>
      </c>
      <c r="D56" s="8" t="inlineStr">
        <is>
          <t>ATN</t>
        </is>
      </c>
      <c r="E56" s="8" t="inlineStr">
        <is>
          <t>Neon,Omen,Sova,Viper,Yoru</t>
        </is>
      </c>
      <c r="F56" s="8" t="inlineStr">
        <is>
          <t>Jett,Omen,Sova,Viper,Yoru</t>
        </is>
      </c>
      <c r="G56" s="8" t="n">
        <v>13</v>
      </c>
      <c r="H56" s="8" t="n">
        <v>5</v>
      </c>
      <c r="I56" s="8" t="n">
        <v>10</v>
      </c>
      <c r="J56" s="8" t="n">
        <v>2</v>
      </c>
      <c r="K56" s="8" t="n">
        <v>1</v>
      </c>
      <c r="L56" s="8" t="n">
        <v>0</v>
      </c>
      <c r="M56" s="8" t="n">
        <v>10</v>
      </c>
      <c r="N56" s="8" t="n">
        <v>2</v>
      </c>
      <c r="O56" s="8" t="n">
        <v>3</v>
      </c>
      <c r="P56" s="8" t="n">
        <v>3</v>
      </c>
      <c r="Q56" s="8" t="inlineStr">
        <is>
          <t>2026-03-05</t>
        </is>
      </c>
      <c r="R56" s="8" t="inlineStr">
        <is>
          <t>Eintracht Frankfurt</t>
        </is>
      </c>
      <c r="S56" s="8" t="inlineStr">
        <is>
          <t>Breeze_Neon,Omen,Sova,Viper,Yoru</t>
        </is>
      </c>
    </row>
    <row r="57">
      <c r="A57" s="12" t="inlineStr">
        <is>
          <t>db467550-3b69-46f2-95b3-aa0effd66cfe</t>
        </is>
      </c>
      <c r="B57" s="12" t="inlineStr">
        <is>
          <t>Haven</t>
        </is>
      </c>
      <c r="C57" s="12" t="inlineStr">
        <is>
          <t>Eintracht Frankfurt</t>
        </is>
      </c>
      <c r="D57" s="12" t="inlineStr">
        <is>
          <t>ATN</t>
        </is>
      </c>
      <c r="E57" s="12" t="inlineStr">
        <is>
          <t>Killjoy,Neon,Omen,Sova,Viper</t>
        </is>
      </c>
      <c r="F57" s="12" t="inlineStr">
        <is>
          <t>Cypher,Omen,Sova,Waylay,Yoru</t>
        </is>
      </c>
      <c r="G57" s="12" t="n">
        <v>13</v>
      </c>
      <c r="H57" s="12" t="n">
        <v>4</v>
      </c>
      <c r="I57" s="12" t="n">
        <v>10</v>
      </c>
      <c r="J57" s="12" t="n">
        <v>2</v>
      </c>
      <c r="K57" s="12" t="n">
        <v>0</v>
      </c>
      <c r="L57" s="12" t="n">
        <v>0</v>
      </c>
      <c r="M57" s="12" t="n">
        <v>3</v>
      </c>
      <c r="N57" s="12" t="n">
        <v>2</v>
      </c>
      <c r="O57" s="12" t="n">
        <v>10</v>
      </c>
      <c r="P57" s="12" t="n">
        <v>2</v>
      </c>
      <c r="Q57" s="12" t="inlineStr">
        <is>
          <t>2026-03-05</t>
        </is>
      </c>
      <c r="R57" s="12" t="inlineStr">
        <is>
          <t>Eintracht Frankfurt</t>
        </is>
      </c>
      <c r="S57" s="12" t="inlineStr">
        <is>
          <t>Haven_Killjoy,Neon,Omen,Sova,Viper</t>
        </is>
      </c>
    </row>
    <row r="58">
      <c r="A58" s="8" t="inlineStr">
        <is>
          <t>60300547-8cfb-4b51-8d7e-614318bb86e8</t>
        </is>
      </c>
      <c r="B58" s="8" t="inlineStr">
        <is>
          <t>Abyss</t>
        </is>
      </c>
      <c r="C58" s="8" t="inlineStr">
        <is>
          <t>Eintracht Frankfurt</t>
        </is>
      </c>
      <c r="D58" s="8" t="inlineStr">
        <is>
          <t>CGN</t>
        </is>
      </c>
      <c r="E58" s="8" t="inlineStr">
        <is>
          <t>Astra,Harbor,Sova,Waylay,Yoru</t>
        </is>
      </c>
      <c r="F58" s="8" t="inlineStr">
        <is>
          <t>Astra,Sova,Tejo,Veto,Waylay</t>
        </is>
      </c>
      <c r="G58" s="8" t="n">
        <v>8</v>
      </c>
      <c r="H58" s="8" t="n">
        <v>13</v>
      </c>
      <c r="I58" s="8" t="n">
        <v>5</v>
      </c>
      <c r="J58" s="8" t="n">
        <v>7</v>
      </c>
      <c r="K58" s="8" t="n">
        <v>0</v>
      </c>
      <c r="L58" s="8" t="n">
        <v>1</v>
      </c>
      <c r="M58" s="8" t="n">
        <v>5</v>
      </c>
      <c r="N58" s="8" t="n">
        <v>7</v>
      </c>
      <c r="O58" s="8" t="n">
        <v>3</v>
      </c>
      <c r="P58" s="8" t="n">
        <v>6</v>
      </c>
      <c r="Q58" s="8" t="inlineStr">
        <is>
          <t>2026-03-01</t>
        </is>
      </c>
      <c r="R58" s="8" t="inlineStr">
        <is>
          <t>CGN</t>
        </is>
      </c>
      <c r="S58" s="8" t="inlineStr">
        <is>
          <t>Abyss_Astra,Harbor,Sova,Waylay,Yoru</t>
        </is>
      </c>
    </row>
    <row r="59">
      <c r="A59" s="12" t="inlineStr">
        <is>
          <t>7ac890ea-0c7f-4dc2-898c-b35446ada8c3</t>
        </is>
      </c>
      <c r="B59" s="12" t="inlineStr">
        <is>
          <t>Pearl</t>
        </is>
      </c>
      <c r="C59" s="12" t="inlineStr">
        <is>
          <t>Eintracht Frankfurt</t>
        </is>
      </c>
      <c r="D59" s="12" t="inlineStr">
        <is>
          <t>CGN</t>
        </is>
      </c>
      <c r="E59" s="12" t="inlineStr">
        <is>
          <t>Astra,Fade,Killjoy,Neon,Yoru</t>
        </is>
      </c>
      <c r="F59" s="12" t="inlineStr">
        <is>
          <t>Astra,Cypher,KAY/O,Neon,Tejo</t>
        </is>
      </c>
      <c r="G59" s="12" t="n">
        <v>12</v>
      </c>
      <c r="H59" s="12" t="n">
        <v>14</v>
      </c>
      <c r="I59" s="12" t="n">
        <v>4</v>
      </c>
      <c r="J59" s="12" t="n">
        <v>8</v>
      </c>
      <c r="K59" s="12" t="n">
        <v>0</v>
      </c>
      <c r="L59" s="12" t="n">
        <v>0</v>
      </c>
      <c r="M59" s="12" t="n">
        <v>4</v>
      </c>
      <c r="N59" s="12" t="n">
        <v>9</v>
      </c>
      <c r="O59" s="12" t="n">
        <v>8</v>
      </c>
      <c r="P59" s="12" t="n">
        <v>5</v>
      </c>
      <c r="Q59" s="12" t="inlineStr">
        <is>
          <t>2026-03-01</t>
        </is>
      </c>
      <c r="R59" s="12" t="inlineStr">
        <is>
          <t>CGN</t>
        </is>
      </c>
      <c r="S59" s="12" t="inlineStr">
        <is>
          <t>Pearl_Astra,Fade,Killjoy,Neon,Yoru</t>
        </is>
      </c>
    </row>
    <row r="60">
      <c r="A60" s="8" t="inlineStr">
        <is>
          <t>93433244-921c-4e23-b8f9-e5c97f725946</t>
        </is>
      </c>
      <c r="B60" s="8" t="inlineStr">
        <is>
          <t>Corrode</t>
        </is>
      </c>
      <c r="C60" s="8" t="inlineStr">
        <is>
          <t>Eintracht Frankfurt</t>
        </is>
      </c>
      <c r="D60" s="8" t="inlineStr">
        <is>
          <t>CGN</t>
        </is>
      </c>
      <c r="E60" s="8" t="inlineStr">
        <is>
          <t>KAY/O,Omen,Sova,Viper,Waylay</t>
        </is>
      </c>
      <c r="F60" s="8" t="inlineStr">
        <is>
          <t>Fade,Omen,Sage,Veto,Waylay</t>
        </is>
      </c>
      <c r="G60" s="8" t="n">
        <v>8</v>
      </c>
      <c r="H60" s="8" t="n">
        <v>13</v>
      </c>
      <c r="I60" s="8" t="n">
        <v>4</v>
      </c>
      <c r="J60" s="8" t="n">
        <v>8</v>
      </c>
      <c r="K60" s="8" t="n">
        <v>1</v>
      </c>
      <c r="L60" s="8" t="n">
        <v>1</v>
      </c>
      <c r="M60" s="8" t="n">
        <v>4</v>
      </c>
      <c r="N60" s="8" t="n">
        <v>5</v>
      </c>
      <c r="O60" s="8" t="n">
        <v>4</v>
      </c>
      <c r="P60" s="8" t="n">
        <v>8</v>
      </c>
      <c r="Q60" s="8" t="inlineStr">
        <is>
          <t>2026-03-01</t>
        </is>
      </c>
      <c r="R60" s="8" t="inlineStr">
        <is>
          <t>CGN</t>
        </is>
      </c>
      <c r="S60" s="8" t="inlineStr">
        <is>
          <t>Corrode_KAY/O,Omen,Sova,Viper,Waylay</t>
        </is>
      </c>
    </row>
    <row r="61">
      <c r="A61" s="12" t="inlineStr">
        <is>
          <t>b18cf372-aa87-4cde-9167-061914581c8e</t>
        </is>
      </c>
      <c r="B61" s="12" t="inlineStr">
        <is>
          <t>Split</t>
        </is>
      </c>
      <c r="C61" s="12" t="inlineStr">
        <is>
          <t>Eintracht Frankfurt</t>
        </is>
      </c>
      <c r="D61" s="12" t="inlineStr">
        <is>
          <t>FKS</t>
        </is>
      </c>
      <c r="E61" s="12" t="inlineStr">
        <is>
          <t>Fade,Neon,Omen,Viper,Yoru</t>
        </is>
      </c>
      <c r="F61" s="12" t="inlineStr">
        <is>
          <t>Omen,Raze,Skye,Viper,Yoru</t>
        </is>
      </c>
      <c r="G61" s="12" t="n">
        <v>13</v>
      </c>
      <c r="H61" s="12" t="n">
        <v>6</v>
      </c>
      <c r="I61" s="12" t="n">
        <v>7</v>
      </c>
      <c r="J61" s="12" t="n">
        <v>5</v>
      </c>
      <c r="K61" s="12" t="n">
        <v>0</v>
      </c>
      <c r="L61" s="12" t="n">
        <v>1</v>
      </c>
      <c r="M61" s="12" t="n">
        <v>7</v>
      </c>
      <c r="N61" s="12" t="n">
        <v>5</v>
      </c>
      <c r="O61" s="12" t="n">
        <v>6</v>
      </c>
      <c r="P61" s="12" t="n">
        <v>1</v>
      </c>
      <c r="Q61" s="12" t="inlineStr">
        <is>
          <t>2026-02-28</t>
        </is>
      </c>
      <c r="R61" s="12" t="inlineStr">
        <is>
          <t>Eintracht Frankfurt</t>
        </is>
      </c>
      <c r="S61" s="12" t="inlineStr">
        <is>
          <t>Split_Fade,Neon,Omen,Viper,Yoru</t>
        </is>
      </c>
    </row>
    <row r="62">
      <c r="A62" s="8" t="inlineStr">
        <is>
          <t>9cc27d5c-07e0-460c-be48-434902f91cc3</t>
        </is>
      </c>
      <c r="B62" s="8" t="inlineStr">
        <is>
          <t>Abyss</t>
        </is>
      </c>
      <c r="C62" s="8" t="inlineStr">
        <is>
          <t>Eintracht Frankfurt</t>
        </is>
      </c>
      <c r="D62" s="8" t="inlineStr">
        <is>
          <t>FKS</t>
        </is>
      </c>
      <c r="E62" s="8" t="inlineStr">
        <is>
          <t>Astra,Harbor,Sova,Waylay,Yoru</t>
        </is>
      </c>
      <c r="F62" s="8" t="inlineStr">
        <is>
          <t>Astra,Cypher,Sova,Waylay,Yoru</t>
        </is>
      </c>
      <c r="G62" s="8" t="n">
        <v>13</v>
      </c>
      <c r="H62" s="8" t="n">
        <v>8</v>
      </c>
      <c r="I62" s="8" t="n">
        <v>9</v>
      </c>
      <c r="J62" s="8" t="n">
        <v>3</v>
      </c>
      <c r="K62" s="8" t="n">
        <v>0</v>
      </c>
      <c r="L62" s="8" t="n">
        <v>1</v>
      </c>
      <c r="M62" s="8" t="n">
        <v>4</v>
      </c>
      <c r="N62" s="8" t="n">
        <v>5</v>
      </c>
      <c r="O62" s="8" t="n">
        <v>9</v>
      </c>
      <c r="P62" s="8" t="n">
        <v>3</v>
      </c>
      <c r="Q62" s="8" t="inlineStr">
        <is>
          <t>2026-02-28</t>
        </is>
      </c>
      <c r="R62" s="8" t="inlineStr">
        <is>
          <t>Eintracht Frankfurt</t>
        </is>
      </c>
      <c r="S62" s="8" t="inlineStr">
        <is>
          <t>Abyss_Astra,Harbor,Sova,Waylay,Yoru</t>
        </is>
      </c>
    </row>
    <row r="63">
      <c r="A63" s="12" t="inlineStr">
        <is>
          <t>1c3f1cc3-056e-44ea-b9a4-56a817fd7829</t>
        </is>
      </c>
      <c r="B63" s="12" t="inlineStr">
        <is>
          <t>Bind</t>
        </is>
      </c>
      <c r="C63" s="12" t="inlineStr">
        <is>
          <t>Eintracht Frankfurt</t>
        </is>
      </c>
      <c r="D63" s="12" t="inlineStr">
        <is>
          <t>FKS</t>
        </is>
      </c>
      <c r="E63" s="12" t="inlineStr">
        <is>
          <t>Brimstone,Fade,Neon,Viper,Yoru</t>
        </is>
      </c>
      <c r="F63" s="12" t="inlineStr">
        <is>
          <t>Brimstone,Fade,Raze,Viper,Yoru</t>
        </is>
      </c>
      <c r="G63" s="12" t="n">
        <v>12</v>
      </c>
      <c r="H63" s="12" t="n">
        <v>14</v>
      </c>
      <c r="I63" s="12" t="n">
        <v>1</v>
      </c>
      <c r="J63" s="12" t="n">
        <v>11</v>
      </c>
      <c r="K63" s="12" t="n">
        <v>0</v>
      </c>
      <c r="L63" s="12" t="n">
        <v>1</v>
      </c>
      <c r="M63" s="12" t="n">
        <v>1</v>
      </c>
      <c r="N63" s="12" t="n">
        <v>12</v>
      </c>
      <c r="O63" s="12" t="n">
        <v>11</v>
      </c>
      <c r="P63" s="12" t="n">
        <v>2</v>
      </c>
      <c r="Q63" s="12" t="inlineStr">
        <is>
          <t>2026-02-28</t>
        </is>
      </c>
      <c r="R63" s="12" t="inlineStr">
        <is>
          <t>FKS</t>
        </is>
      </c>
      <c r="S63" s="12" t="inlineStr">
        <is>
          <t>Bind_Brimstone,Fade,Neon,Viper,Yoru</t>
        </is>
      </c>
    </row>
    <row r="64">
      <c r="A64" s="8" t="inlineStr">
        <is>
          <t>e1ef070b-d330-43b3-bd4b-076a6a48a77e</t>
        </is>
      </c>
      <c r="B64" s="8" t="inlineStr">
        <is>
          <t>Split</t>
        </is>
      </c>
      <c r="C64" s="8" t="inlineStr">
        <is>
          <t>Eintracht Frankfurt</t>
        </is>
      </c>
      <c r="D64" s="8" t="inlineStr">
        <is>
          <t>DXG</t>
        </is>
      </c>
      <c r="E64" s="8" t="inlineStr">
        <is>
          <t>Fade,Neon,Omen,Viper,Yoru</t>
        </is>
      </c>
      <c r="F64" s="8" t="inlineStr">
        <is>
          <t>Astra,Fade,Neon,Viper,Waylay</t>
        </is>
      </c>
      <c r="G64" s="8" t="n">
        <v>13</v>
      </c>
      <c r="H64" s="8" t="n">
        <v>4</v>
      </c>
      <c r="I64" s="8" t="n">
        <v>9</v>
      </c>
      <c r="J64" s="8" t="n">
        <v>3</v>
      </c>
      <c r="K64" s="8" t="n">
        <v>0</v>
      </c>
      <c r="L64" s="8" t="n">
        <v>0</v>
      </c>
      <c r="M64" s="8" t="n">
        <v>9</v>
      </c>
      <c r="N64" s="8" t="n">
        <v>3</v>
      </c>
      <c r="O64" s="8" t="n">
        <v>4</v>
      </c>
      <c r="P64" s="8" t="n">
        <v>1</v>
      </c>
      <c r="Q64" s="8" t="inlineStr">
        <is>
          <t>2026-02-28</t>
        </is>
      </c>
      <c r="R64" s="8" t="inlineStr">
        <is>
          <t>Eintracht Frankfurt</t>
        </is>
      </c>
      <c r="S64" s="8" t="inlineStr">
        <is>
          <t>Split_Fade,Neon,Omen,Viper,Yoru</t>
        </is>
      </c>
    </row>
    <row r="65">
      <c r="A65" s="12" t="inlineStr">
        <is>
          <t>625621ab-6928-4ed9-9e24-185da9567181</t>
        </is>
      </c>
      <c r="B65" s="12" t="inlineStr">
        <is>
          <t>Breeze</t>
        </is>
      </c>
      <c r="C65" s="12" t="inlineStr">
        <is>
          <t>Eintracht Frankfurt</t>
        </is>
      </c>
      <c r="D65" s="12" t="inlineStr">
        <is>
          <t>DXG</t>
        </is>
      </c>
      <c r="E65" s="12" t="inlineStr">
        <is>
          <t>Neon,Omen,Sova,Viper,Yoru</t>
        </is>
      </c>
      <c r="F65" s="12" t="inlineStr">
        <is>
          <t>Astra,Neon,Sova,Viper,Yoru</t>
        </is>
      </c>
      <c r="G65" s="12" t="n">
        <v>13</v>
      </c>
      <c r="H65" s="12" t="n">
        <v>5</v>
      </c>
      <c r="I65" s="12" t="n">
        <v>8</v>
      </c>
      <c r="J65" s="12" t="n">
        <v>4</v>
      </c>
      <c r="K65" s="12" t="n">
        <v>0</v>
      </c>
      <c r="L65" s="12" t="n">
        <v>1</v>
      </c>
      <c r="M65" s="12" t="n">
        <v>8</v>
      </c>
      <c r="N65" s="12" t="n">
        <v>4</v>
      </c>
      <c r="O65" s="12" t="n">
        <v>5</v>
      </c>
      <c r="P65" s="12" t="n">
        <v>1</v>
      </c>
      <c r="Q65" s="12" t="inlineStr">
        <is>
          <t>2026-02-28</t>
        </is>
      </c>
      <c r="R65" s="12" t="inlineStr">
        <is>
          <t>Eintracht Frankfurt</t>
        </is>
      </c>
      <c r="S65" s="12" t="inlineStr">
        <is>
          <t>Breeze_Neon,Omen,Sova,Viper,Yoru</t>
        </is>
      </c>
    </row>
    <row r="66">
      <c r="A66" s="8" t="inlineStr">
        <is>
          <t>55866e7b-9b04-440b-8619-c5439c2b6d30</t>
        </is>
      </c>
      <c r="B66" s="8" t="inlineStr">
        <is>
          <t>Breeze</t>
        </is>
      </c>
      <c r="C66" s="8" t="inlineStr">
        <is>
          <t>Eintracht Frankfurt</t>
        </is>
      </c>
      <c r="D66" s="8" t="inlineStr">
        <is>
          <t>6GPA</t>
        </is>
      </c>
      <c r="E66" s="8" t="inlineStr">
        <is>
          <t>Neon,Omen,Sova,Viper,Yoru</t>
        </is>
      </c>
      <c r="F66" s="8" t="inlineStr">
        <is>
          <t>Astra,Neon,Sova,Viper,Yoru</t>
        </is>
      </c>
      <c r="G66" s="8" t="n">
        <v>13</v>
      </c>
      <c r="H66" s="8" t="n">
        <v>9</v>
      </c>
      <c r="I66" s="8" t="n">
        <v>6</v>
      </c>
      <c r="J66" s="8" t="n">
        <v>6</v>
      </c>
      <c r="K66" s="8" t="n">
        <v>0</v>
      </c>
      <c r="L66" s="8" t="n">
        <v>1</v>
      </c>
      <c r="M66" s="8" t="n">
        <v>6</v>
      </c>
      <c r="N66" s="8" t="n">
        <v>6</v>
      </c>
      <c r="O66" s="8" t="n">
        <v>7</v>
      </c>
      <c r="P66" s="8" t="n">
        <v>3</v>
      </c>
      <c r="Q66" s="8" t="inlineStr">
        <is>
          <t>2026-02-14</t>
        </is>
      </c>
      <c r="R66" s="8" t="inlineStr">
        <is>
          <t>Eintracht Frankfurt</t>
        </is>
      </c>
      <c r="S66" s="8" t="inlineStr">
        <is>
          <t>Breeze_Neon,Omen,Sova,Viper,Yoru</t>
        </is>
      </c>
    </row>
    <row r="67">
      <c r="A67" s="12" t="inlineStr">
        <is>
          <t>fc7e1b96-4b93-47c5-9272-d55a60f98da0</t>
        </is>
      </c>
      <c r="B67" s="12" t="inlineStr">
        <is>
          <t>Pearl</t>
        </is>
      </c>
      <c r="C67" s="12" t="inlineStr">
        <is>
          <t>Eintracht Frankfurt</t>
        </is>
      </c>
      <c r="D67" s="12" t="inlineStr">
        <is>
          <t>6GPA</t>
        </is>
      </c>
      <c r="E67" s="12" t="inlineStr">
        <is>
          <t>Astra,Fade,Killjoy,Neon,Yoru</t>
        </is>
      </c>
      <c r="F67" s="12" t="inlineStr">
        <is>
          <t>Astra,Cypher,Fade,Neon,Yoru</t>
        </is>
      </c>
      <c r="G67" s="12" t="n">
        <v>13</v>
      </c>
      <c r="H67" s="12" t="n">
        <v>5</v>
      </c>
      <c r="I67" s="12" t="n">
        <v>7</v>
      </c>
      <c r="J67" s="12" t="n">
        <v>5</v>
      </c>
      <c r="K67" s="12" t="n">
        <v>1</v>
      </c>
      <c r="L67" s="12" t="n">
        <v>1</v>
      </c>
      <c r="M67" s="12" t="n">
        <v>6</v>
      </c>
      <c r="N67" s="12" t="n">
        <v>0</v>
      </c>
      <c r="O67" s="12" t="n">
        <v>7</v>
      </c>
      <c r="P67" s="12" t="n">
        <v>5</v>
      </c>
      <c r="Q67" s="12" t="inlineStr">
        <is>
          <t>2026-02-14</t>
        </is>
      </c>
      <c r="R67" s="12" t="inlineStr">
        <is>
          <t>Eintracht Frankfurt</t>
        </is>
      </c>
      <c r="S67" s="12" t="inlineStr">
        <is>
          <t>Pearl_Astra,Fade,Killjoy,Neon,Yoru</t>
        </is>
      </c>
    </row>
    <row r="68">
      <c r="A68" s="8" t="inlineStr">
        <is>
          <t>7e3cbe77-c025-4ace-b96a-6c50846e2b4f</t>
        </is>
      </c>
      <c r="B68" s="8" t="inlineStr">
        <is>
          <t>Abyss</t>
        </is>
      </c>
      <c r="C68" s="8" t="inlineStr">
        <is>
          <t>Eintracht Frankfurt</t>
        </is>
      </c>
      <c r="D68" s="8" t="inlineStr">
        <is>
          <t>CGN</t>
        </is>
      </c>
      <c r="E68" s="8" t="inlineStr">
        <is>
          <t>Astra,Sova,Veto,Waylay,Yoru</t>
        </is>
      </c>
      <c r="F68" s="8" t="inlineStr">
        <is>
          <t>Astra,Sova,Tejo,Veto,Waylay</t>
        </is>
      </c>
      <c r="G68" s="8" t="n">
        <v>9</v>
      </c>
      <c r="H68" s="8" t="n">
        <v>13</v>
      </c>
      <c r="I68" s="8" t="n">
        <v>5</v>
      </c>
      <c r="J68" s="8" t="n">
        <v>7</v>
      </c>
      <c r="K68" s="8" t="n">
        <v>1</v>
      </c>
      <c r="L68" s="8" t="n">
        <v>1</v>
      </c>
      <c r="M68" s="8" t="n">
        <v>5</v>
      </c>
      <c r="N68" s="8" t="n">
        <v>7</v>
      </c>
      <c r="O68" s="8" t="n">
        <v>4</v>
      </c>
      <c r="P68" s="8" t="n">
        <v>6</v>
      </c>
      <c r="Q68" s="8" t="inlineStr">
        <is>
          <t>2026-02-08</t>
        </is>
      </c>
      <c r="R68" s="8" t="inlineStr">
        <is>
          <t>CGN</t>
        </is>
      </c>
      <c r="S68" s="8" t="inlineStr">
        <is>
          <t>Abyss_Astra,Sova,Veto,Waylay,Yoru</t>
        </is>
      </c>
    </row>
    <row r="69">
      <c r="A69" s="12" t="inlineStr">
        <is>
          <t>f256a5b4-b416-436a-abe1-ab28e4c7ba17</t>
        </is>
      </c>
      <c r="B69" s="12" t="inlineStr">
        <is>
          <t>Breeze</t>
        </is>
      </c>
      <c r="C69" s="12" t="inlineStr">
        <is>
          <t>Eintracht Frankfurt</t>
        </is>
      </c>
      <c r="D69" s="12" t="inlineStr">
        <is>
          <t>CGN</t>
        </is>
      </c>
      <c r="E69" s="12" t="inlineStr">
        <is>
          <t>Astra,Neon,Sova,Viper,Yoru</t>
        </is>
      </c>
      <c r="F69" s="12" t="inlineStr">
        <is>
          <t>Jett,Omen,Skye,Sova,Viper</t>
        </is>
      </c>
      <c r="G69" s="12" t="n">
        <v>11</v>
      </c>
      <c r="H69" s="12" t="n">
        <v>13</v>
      </c>
      <c r="I69" s="12" t="n">
        <v>6</v>
      </c>
      <c r="J69" s="12" t="n">
        <v>6</v>
      </c>
      <c r="K69" s="12" t="n">
        <v>1</v>
      </c>
      <c r="L69" s="12" t="n">
        <v>1</v>
      </c>
      <c r="M69" s="12" t="n">
        <v>6</v>
      </c>
      <c r="N69" s="12" t="n">
        <v>6</v>
      </c>
      <c r="O69" s="12" t="n">
        <v>5</v>
      </c>
      <c r="P69" s="12" t="n">
        <v>7</v>
      </c>
      <c r="Q69" s="12" t="inlineStr">
        <is>
          <t>2026-02-08</t>
        </is>
      </c>
      <c r="R69" s="12" t="inlineStr">
        <is>
          <t>CGN</t>
        </is>
      </c>
      <c r="S69" s="12" t="inlineStr">
        <is>
          <t>Breeze_Astra,Neon,Sova,Viper,Yoru</t>
        </is>
      </c>
    </row>
    <row r="70">
      <c r="A70" s="8" t="inlineStr">
        <is>
          <t>16be809c-52f4-4f81-a309-8b777d28e5f0</t>
        </is>
      </c>
      <c r="B70" s="8" t="inlineStr">
        <is>
          <t>Haven</t>
        </is>
      </c>
      <c r="C70" s="8" t="inlineStr">
        <is>
          <t>Eintracht Frankfurt</t>
        </is>
      </c>
      <c r="D70" s="8" t="inlineStr">
        <is>
          <t>CGN</t>
        </is>
      </c>
      <c r="E70" s="8" t="inlineStr">
        <is>
          <t>Killjoy,Neon,Omen,Sova,Viper</t>
        </is>
      </c>
      <c r="F70" s="8" t="inlineStr">
        <is>
          <t>Breach,Cypher,Neon,Omen,Sova</t>
        </is>
      </c>
      <c r="G70" s="8" t="n">
        <v>13</v>
      </c>
      <c r="H70" s="8" t="n">
        <v>6</v>
      </c>
      <c r="I70" s="8" t="n">
        <v>10</v>
      </c>
      <c r="J70" s="8" t="n">
        <v>2</v>
      </c>
      <c r="K70" s="8" t="n">
        <v>1</v>
      </c>
      <c r="L70" s="8" t="n">
        <v>0</v>
      </c>
      <c r="M70" s="8" t="n">
        <v>10</v>
      </c>
      <c r="N70" s="8" t="n">
        <v>2</v>
      </c>
      <c r="O70" s="8" t="n">
        <v>3</v>
      </c>
      <c r="P70" s="8" t="n">
        <v>4</v>
      </c>
      <c r="Q70" s="8" t="inlineStr">
        <is>
          <t>2026-02-08</t>
        </is>
      </c>
      <c r="R70" s="8" t="inlineStr">
        <is>
          <t>Eintracht Frankfurt</t>
        </is>
      </c>
      <c r="S70" s="8" t="inlineStr">
        <is>
          <t>Haven_Killjoy,Neon,Omen,Sova,Viper</t>
        </is>
      </c>
    </row>
    <row r="71">
      <c r="A71" s="12" t="inlineStr">
        <is>
          <t>225cb9d4-7df5-40c4-8d62-ab3253b5bccd</t>
        </is>
      </c>
      <c r="B71" s="12" t="inlineStr">
        <is>
          <t>Corrode</t>
        </is>
      </c>
      <c r="C71" s="12" t="inlineStr">
        <is>
          <t>Eintracht Frankfurt</t>
        </is>
      </c>
      <c r="D71" s="12" t="inlineStr">
        <is>
          <t>FKS</t>
        </is>
      </c>
      <c r="E71" s="12" t="inlineStr">
        <is>
          <t>Astra,Fade,Phoenix,Veto,Yoru</t>
        </is>
      </c>
      <c r="F71" s="12" t="inlineStr">
        <is>
          <t>Fade,Omen,Viper,Waylay,Yoru</t>
        </is>
      </c>
      <c r="G71" s="12" t="n">
        <v>10</v>
      </c>
      <c r="H71" s="12" t="n">
        <v>13</v>
      </c>
      <c r="I71" s="12" t="n">
        <v>4</v>
      </c>
      <c r="J71" s="12" t="n">
        <v>8</v>
      </c>
      <c r="K71" s="12" t="n">
        <v>1</v>
      </c>
      <c r="L71" s="12" t="n">
        <v>0</v>
      </c>
      <c r="M71" s="12" t="n">
        <v>6</v>
      </c>
      <c r="N71" s="12" t="n">
        <v>5</v>
      </c>
      <c r="O71" s="12" t="n">
        <v>4</v>
      </c>
      <c r="P71" s="12" t="n">
        <v>8</v>
      </c>
      <c r="Q71" s="12" t="inlineStr">
        <is>
          <t>2026-02-01</t>
        </is>
      </c>
      <c r="R71" s="12" t="inlineStr">
        <is>
          <t>FKS</t>
        </is>
      </c>
      <c r="S71" s="12" t="inlineStr">
        <is>
          <t>Corrode_Astra,Fade,Phoenix,Veto,Yoru</t>
        </is>
      </c>
    </row>
    <row r="72">
      <c r="A72" s="8" t="inlineStr">
        <is>
          <t>8abc3599-746b-489a-ab51-e8dd2da1f2ee</t>
        </is>
      </c>
      <c r="B72" s="8" t="inlineStr">
        <is>
          <t>Haven</t>
        </is>
      </c>
      <c r="C72" s="8" t="inlineStr">
        <is>
          <t>Eintracht Frankfurt</t>
        </is>
      </c>
      <c r="D72" s="8" t="inlineStr">
        <is>
          <t>FKS</t>
        </is>
      </c>
      <c r="E72" s="8" t="inlineStr">
        <is>
          <t>Killjoy,Neon,Omen,Sova,Viper</t>
        </is>
      </c>
      <c r="F72" s="8" t="inlineStr">
        <is>
          <t>Cypher,Neon,Omen,Sova,Yoru</t>
        </is>
      </c>
      <c r="G72" s="8" t="n">
        <v>8</v>
      </c>
      <c r="H72" s="8" t="n">
        <v>13</v>
      </c>
      <c r="I72" s="8" t="n">
        <v>5</v>
      </c>
      <c r="J72" s="8" t="n">
        <v>7</v>
      </c>
      <c r="K72" s="8" t="n">
        <v>1</v>
      </c>
      <c r="L72" s="8" t="n">
        <v>0</v>
      </c>
      <c r="M72" s="8" t="n">
        <v>5</v>
      </c>
      <c r="N72" s="8" t="n">
        <v>7</v>
      </c>
      <c r="O72" s="8" t="n">
        <v>3</v>
      </c>
      <c r="P72" s="8" t="n">
        <v>6</v>
      </c>
      <c r="Q72" s="8" t="inlineStr">
        <is>
          <t>2026-02-01</t>
        </is>
      </c>
      <c r="R72" s="8" t="inlineStr">
        <is>
          <t>FKS</t>
        </is>
      </c>
      <c r="S72" s="8" t="inlineStr">
        <is>
          <t>Haven_Killjoy,Neon,Omen,Sova,Viper</t>
        </is>
      </c>
    </row>
    <row r="73">
      <c r="A73" s="12" t="inlineStr">
        <is>
          <t>4f384665-abc0-4d4e-a46a-1295fa024c96</t>
        </is>
      </c>
      <c r="B73" s="12" t="inlineStr">
        <is>
          <t>Abyss</t>
        </is>
      </c>
      <c r="C73" s="12" t="inlineStr">
        <is>
          <t>Eintracht Frankfurt</t>
        </is>
      </c>
      <c r="D73" s="12" t="inlineStr">
        <is>
          <t>FKS</t>
        </is>
      </c>
      <c r="E73" s="12" t="inlineStr">
        <is>
          <t>Astra,Sova,Veto,Waylay,Yoru</t>
        </is>
      </c>
      <c r="F73" s="12" t="inlineStr">
        <is>
          <t>Astra,Sova,Veto,Waylay,Yoru</t>
        </is>
      </c>
      <c r="G73" s="12" t="n">
        <v>10</v>
      </c>
      <c r="H73" s="12" t="n">
        <v>13</v>
      </c>
      <c r="I73" s="12" t="n">
        <v>8</v>
      </c>
      <c r="J73" s="12" t="n">
        <v>4</v>
      </c>
      <c r="K73" s="12" t="n">
        <v>0</v>
      </c>
      <c r="L73" s="12" t="n">
        <v>0</v>
      </c>
      <c r="M73" s="12" t="n">
        <v>8</v>
      </c>
      <c r="N73" s="12" t="n">
        <v>4</v>
      </c>
      <c r="O73" s="12" t="n">
        <v>2</v>
      </c>
      <c r="P73" s="12" t="n">
        <v>9</v>
      </c>
      <c r="Q73" s="12" t="inlineStr">
        <is>
          <t>2026-01-26</t>
        </is>
      </c>
      <c r="R73" s="12" t="inlineStr">
        <is>
          <t>FKS</t>
        </is>
      </c>
      <c r="S73" s="12" t="inlineStr">
        <is>
          <t>Abyss_Astra,Sova,Veto,Waylay,Yoru</t>
        </is>
      </c>
    </row>
    <row r="74">
      <c r="A74" s="8" t="inlineStr">
        <is>
          <t>e22ec6fc-9c28-4ab6-af15-52d30441dfd1</t>
        </is>
      </c>
      <c r="B74" s="8" t="inlineStr">
        <is>
          <t>Bind</t>
        </is>
      </c>
      <c r="C74" s="8" t="inlineStr">
        <is>
          <t>Eintracht Frankfurt</t>
        </is>
      </c>
      <c r="D74" s="8" t="inlineStr">
        <is>
          <t>CGN</t>
        </is>
      </c>
      <c r="E74" s="8" t="inlineStr">
        <is>
          <t>Brimstone,Fade,Viper,Waylay,Yoru</t>
        </is>
      </c>
      <c r="F74" s="8" t="inlineStr">
        <is>
          <t>Brimstone,Fade,Gekko,Raze,Viper</t>
        </is>
      </c>
      <c r="G74" s="8" t="n">
        <v>13</v>
      </c>
      <c r="H74" s="8" t="n">
        <v>9</v>
      </c>
      <c r="I74" s="8" t="n">
        <v>9</v>
      </c>
      <c r="J74" s="8" t="n">
        <v>3</v>
      </c>
      <c r="K74" s="8" t="n">
        <v>0</v>
      </c>
      <c r="L74" s="8" t="n">
        <v>1</v>
      </c>
      <c r="M74" s="8" t="n">
        <v>4</v>
      </c>
      <c r="N74" s="8" t="n">
        <v>6</v>
      </c>
      <c r="O74" s="8" t="n">
        <v>9</v>
      </c>
      <c r="P74" s="8" t="n">
        <v>3</v>
      </c>
      <c r="Q74" s="8" t="inlineStr">
        <is>
          <t>2026-01-26</t>
        </is>
      </c>
      <c r="R74" s="8" t="inlineStr">
        <is>
          <t>Eintracht Frankfurt</t>
        </is>
      </c>
      <c r="S74" s="8" t="inlineStr">
        <is>
          <t>Bind_Brimstone,Fade,Viper,Waylay,Yoru</t>
        </is>
      </c>
    </row>
    <row r="75">
      <c r="A75" s="12" t="inlineStr">
        <is>
          <t>01d5250d-c004-4d89-8a1f-0231dd344cb1</t>
        </is>
      </c>
      <c r="B75" s="12" t="inlineStr">
        <is>
          <t>Abyss</t>
        </is>
      </c>
      <c r="C75" s="12" t="inlineStr">
        <is>
          <t>Eintracht Frankfurt</t>
        </is>
      </c>
      <c r="D75" s="12" t="inlineStr">
        <is>
          <t>RZN</t>
        </is>
      </c>
      <c r="E75" s="12" t="inlineStr">
        <is>
          <t>Astra,Sova,Veto,Waylay,Yoru</t>
        </is>
      </c>
      <c r="F75" s="12" t="inlineStr">
        <is>
          <t>Astra,Jett,Sova,Veto,Yoru</t>
        </is>
      </c>
      <c r="G75" s="12" t="n">
        <v>13</v>
      </c>
      <c r="H75" s="12" t="n">
        <v>9</v>
      </c>
      <c r="I75" s="12" t="n">
        <v>5</v>
      </c>
      <c r="J75" s="12" t="n">
        <v>7</v>
      </c>
      <c r="K75" s="12" t="n">
        <v>1</v>
      </c>
      <c r="L75" s="12" t="n">
        <v>1</v>
      </c>
      <c r="M75" s="12" t="n">
        <v>5</v>
      </c>
      <c r="N75" s="12" t="n">
        <v>7</v>
      </c>
      <c r="O75" s="12" t="n">
        <v>8</v>
      </c>
      <c r="P75" s="12" t="n">
        <v>2</v>
      </c>
      <c r="Q75" s="12" t="inlineStr">
        <is>
          <t>2026-01-26</t>
        </is>
      </c>
      <c r="R75" s="12" t="inlineStr">
        <is>
          <t>Eintracht Frankfurt</t>
        </is>
      </c>
      <c r="S75" s="12" t="inlineStr">
        <is>
          <t>Abyss_Astra,Sova,Veto,Waylay,Yoru</t>
        </is>
      </c>
    </row>
    <row r="76">
      <c r="A76" s="8" t="inlineStr">
        <is>
          <t>47ec1bfa-810e-47a3-8255-75f5cd2915d8</t>
        </is>
      </c>
      <c r="B76" s="8" t="inlineStr">
        <is>
          <t>Bind</t>
        </is>
      </c>
      <c r="C76" s="8" t="inlineStr">
        <is>
          <t>Eintracht Frankfurt</t>
        </is>
      </c>
      <c r="D76" s="8" t="inlineStr">
        <is>
          <t>6GPA</t>
        </is>
      </c>
      <c r="E76" s="8" t="inlineStr">
        <is>
          <t>Brimstone,Fade,Viper,Waylay,Yoru</t>
        </is>
      </c>
      <c r="F76" s="8" t="inlineStr">
        <is>
          <t>Brimstone,Fade,Viper,Waylay,Yoru</t>
        </is>
      </c>
      <c r="G76" s="8" t="n">
        <v>13</v>
      </c>
      <c r="H76" s="8" t="n">
        <v>11</v>
      </c>
      <c r="I76" s="8" t="n">
        <v>6</v>
      </c>
      <c r="J76" s="8" t="n">
        <v>6</v>
      </c>
      <c r="K76" s="8" t="n">
        <v>0</v>
      </c>
      <c r="L76" s="8" t="n">
        <v>0</v>
      </c>
      <c r="M76" s="8" t="n">
        <v>7</v>
      </c>
      <c r="N76" s="8" t="n">
        <v>5</v>
      </c>
      <c r="O76" s="8" t="n">
        <v>6</v>
      </c>
      <c r="P76" s="8" t="n">
        <v>6</v>
      </c>
      <c r="Q76" s="8" t="inlineStr">
        <is>
          <t>2026-01-24</t>
        </is>
      </c>
      <c r="R76" s="8" t="inlineStr">
        <is>
          <t>Eintracht Frankfurt</t>
        </is>
      </c>
      <c r="S76" s="8" t="inlineStr">
        <is>
          <t>Bind_Brimstone,Fade,Viper,Waylay,Yoru</t>
        </is>
      </c>
    </row>
    <row r="77">
      <c r="A77" s="12" t="inlineStr">
        <is>
          <t>256a142e-2037-4b79-8a58-0415cf612720</t>
        </is>
      </c>
      <c r="B77" s="12" t="inlineStr">
        <is>
          <t>Haven</t>
        </is>
      </c>
      <c r="C77" s="12" t="inlineStr">
        <is>
          <t>Eintracht Frankfurt</t>
        </is>
      </c>
      <c r="D77" s="12" t="inlineStr">
        <is>
          <t>6GPA</t>
        </is>
      </c>
      <c r="E77" s="12" t="inlineStr">
        <is>
          <t>Killjoy,Neon,Omen,Sova,Viper</t>
        </is>
      </c>
      <c r="F77" s="12" t="inlineStr">
        <is>
          <t>Cypher,Neon,Omen,Sova,Yoru</t>
        </is>
      </c>
      <c r="G77" s="12" t="n">
        <v>13</v>
      </c>
      <c r="H77" s="12" t="n">
        <v>8</v>
      </c>
      <c r="I77" s="12" t="n">
        <v>9</v>
      </c>
      <c r="J77" s="12" t="n">
        <v>3</v>
      </c>
      <c r="K77" s="12" t="n">
        <v>1</v>
      </c>
      <c r="L77" s="12" t="n">
        <v>0</v>
      </c>
      <c r="M77" s="12" t="n">
        <v>9</v>
      </c>
      <c r="N77" s="12" t="n">
        <v>3</v>
      </c>
      <c r="O77" s="12" t="n">
        <v>4</v>
      </c>
      <c r="P77" s="12" t="n">
        <v>5</v>
      </c>
      <c r="Q77" s="12" t="inlineStr">
        <is>
          <t>2026-01-24</t>
        </is>
      </c>
      <c r="R77" s="12" t="inlineStr">
        <is>
          <t>Eintracht Frankfurt</t>
        </is>
      </c>
      <c r="S77" s="12" t="inlineStr">
        <is>
          <t>Haven_Killjoy,Neon,Omen,Sova,Viper</t>
        </is>
      </c>
    </row>
    <row r="78">
      <c r="A78" s="8" t="inlineStr">
        <is>
          <t>052a9c8e-f429-431e-a43b-51a6a202db3a</t>
        </is>
      </c>
      <c r="B78" s="8" t="inlineStr">
        <is>
          <t>Corrode</t>
        </is>
      </c>
      <c r="C78" s="8" t="inlineStr">
        <is>
          <t>Eintracht Frankfurt</t>
        </is>
      </c>
      <c r="D78" s="8" t="inlineStr">
        <is>
          <t>6GPA</t>
        </is>
      </c>
      <c r="E78" s="8" t="inlineStr">
        <is>
          <t>KAY/O,Omen,Sova,Viper,Waylay</t>
        </is>
      </c>
      <c r="F78" s="8" t="inlineStr">
        <is>
          <t>Fade,KAY/O,Omen,Viper,Waylay</t>
        </is>
      </c>
      <c r="G78" s="8" t="n">
        <v>6</v>
      </c>
      <c r="H78" s="8" t="n">
        <v>13</v>
      </c>
      <c r="I78" s="8" t="n">
        <v>4</v>
      </c>
      <c r="J78" s="8" t="n">
        <v>8</v>
      </c>
      <c r="K78" s="8" t="n">
        <v>0</v>
      </c>
      <c r="L78" s="8" t="n">
        <v>0</v>
      </c>
      <c r="M78" s="8" t="n">
        <v>4</v>
      </c>
      <c r="N78" s="8" t="n">
        <v>8</v>
      </c>
      <c r="O78" s="8" t="n">
        <v>2</v>
      </c>
      <c r="P78" s="8" t="n">
        <v>5</v>
      </c>
      <c r="Q78" s="8" t="inlineStr">
        <is>
          <t>2026-01-24</t>
        </is>
      </c>
      <c r="R78" s="8" t="inlineStr">
        <is>
          <t>6GPA</t>
        </is>
      </c>
      <c r="S78" s="8" t="inlineStr">
        <is>
          <t>Corrode_KAY/O,Omen,Sova,Viper,Waylay</t>
        </is>
      </c>
    </row>
    <row r="79">
      <c r="A79" s="12" t="inlineStr">
        <is>
          <t>978863b2-50be-49c6-b809-b28846090c8a</t>
        </is>
      </c>
      <c r="B79" s="12" t="inlineStr">
        <is>
          <t>Bind</t>
        </is>
      </c>
      <c r="C79" s="12" t="inlineStr">
        <is>
          <t>Eintracht Frankfurt</t>
        </is>
      </c>
      <c r="D79" s="12" t="inlineStr">
        <is>
          <t>6GPA</t>
        </is>
      </c>
      <c r="E79" s="12" t="inlineStr">
        <is>
          <t>Brimstone,Fade,Viper,Waylay,Yoru</t>
        </is>
      </c>
      <c r="F79" s="12" t="inlineStr">
        <is>
          <t>Brimstone,Fade,Viper,Waylay,Yoru</t>
        </is>
      </c>
      <c r="G79" s="12" t="n">
        <v>13</v>
      </c>
      <c r="H79" s="12" t="n">
        <v>5</v>
      </c>
      <c r="I79" s="12" t="n">
        <v>7</v>
      </c>
      <c r="J79" s="12" t="n">
        <v>5</v>
      </c>
      <c r="K79" s="12" t="n">
        <v>1</v>
      </c>
      <c r="L79" s="12" t="n">
        <v>1</v>
      </c>
      <c r="M79" s="12" t="n">
        <v>6</v>
      </c>
      <c r="N79" s="12" t="n">
        <v>0</v>
      </c>
      <c r="O79" s="12" t="n">
        <v>7</v>
      </c>
      <c r="P79" s="12" t="n">
        <v>5</v>
      </c>
      <c r="Q79" s="12" t="inlineStr">
        <is>
          <t>2026-01-19</t>
        </is>
      </c>
      <c r="R79" s="12" t="inlineStr">
        <is>
          <t>Eintracht Frankfurt</t>
        </is>
      </c>
      <c r="S79" s="12" t="inlineStr">
        <is>
          <t>Bind_Brimstone,Fade,Viper,Waylay,Yoru</t>
        </is>
      </c>
    </row>
    <row r="80">
      <c r="A80" s="8" t="inlineStr">
        <is>
          <t>06516f26-534a-42c2-8049-c4f9f151829c</t>
        </is>
      </c>
      <c r="B80" s="8" t="inlineStr">
        <is>
          <t>Split</t>
        </is>
      </c>
      <c r="C80" s="8" t="inlineStr">
        <is>
          <t>Eintracht Frankfurt</t>
        </is>
      </c>
      <c r="D80" s="8" t="inlineStr">
        <is>
          <t>ATN</t>
        </is>
      </c>
      <c r="E80" s="8" t="inlineStr">
        <is>
          <t>Fade,Omen,Viper,Waylay,Yoru</t>
        </is>
      </c>
      <c r="F80" s="8" t="inlineStr">
        <is>
          <t>Astra,Raze,Sage,Skye,Waylay</t>
        </is>
      </c>
      <c r="G80" s="8" t="n">
        <v>10</v>
      </c>
      <c r="H80" s="8" t="n">
        <v>13</v>
      </c>
      <c r="I80" s="8" t="n">
        <v>5</v>
      </c>
      <c r="J80" s="8" t="n">
        <v>7</v>
      </c>
      <c r="K80" s="8" t="n">
        <v>1</v>
      </c>
      <c r="L80" s="8" t="n">
        <v>1</v>
      </c>
      <c r="M80" s="8" t="n">
        <v>5</v>
      </c>
      <c r="N80" s="8" t="n">
        <v>6</v>
      </c>
      <c r="O80" s="8" t="n">
        <v>5</v>
      </c>
      <c r="P80" s="8" t="n">
        <v>7</v>
      </c>
      <c r="Q80" s="8" t="inlineStr">
        <is>
          <t>2026-01-19</t>
        </is>
      </c>
      <c r="R80" s="8" t="inlineStr">
        <is>
          <t>ATN</t>
        </is>
      </c>
      <c r="S80" s="8" t="inlineStr">
        <is>
          <t>Split_Fade,Omen,Viper,Waylay,Yoru</t>
        </is>
      </c>
    </row>
    <row r="81">
      <c r="A81" s="12" t="inlineStr">
        <is>
          <t>2618491a-4495-448c-9fdd-576d54a6c07c</t>
        </is>
      </c>
      <c r="B81" s="12" t="inlineStr">
        <is>
          <t>Pearl</t>
        </is>
      </c>
      <c r="C81" s="12" t="inlineStr">
        <is>
          <t>Eintracht Frankfurt</t>
        </is>
      </c>
      <c r="D81" s="12" t="inlineStr">
        <is>
          <t>CGN</t>
        </is>
      </c>
      <c r="E81" s="12" t="inlineStr">
        <is>
          <t>Astra,Fade,Killjoy,Neon,Yoru</t>
        </is>
      </c>
      <c r="F81" s="12" t="inlineStr">
        <is>
          <t>Astra,Cypher,Neon,Sova,Tejo</t>
        </is>
      </c>
      <c r="G81" s="12" t="n">
        <v>13</v>
      </c>
      <c r="H81" s="12" t="n">
        <v>8</v>
      </c>
      <c r="I81" s="12" t="n">
        <v>8</v>
      </c>
      <c r="J81" s="12" t="n">
        <v>4</v>
      </c>
      <c r="K81" s="12" t="n">
        <v>1</v>
      </c>
      <c r="L81" s="12" t="n">
        <v>1</v>
      </c>
      <c r="M81" s="12" t="n">
        <v>8</v>
      </c>
      <c r="N81" s="12" t="n">
        <v>4</v>
      </c>
      <c r="O81" s="12" t="n">
        <v>5</v>
      </c>
      <c r="P81" s="12" t="n">
        <v>4</v>
      </c>
      <c r="Q81" s="12" t="inlineStr">
        <is>
          <t>2026-01-19</t>
        </is>
      </c>
      <c r="R81" s="12" t="inlineStr">
        <is>
          <t>Eintracht Frankfurt</t>
        </is>
      </c>
      <c r="S81" s="12" t="inlineStr">
        <is>
          <t>Pearl_Astra,Fade,Killjoy,Neon,Yoru</t>
        </is>
      </c>
    </row>
    <row r="82">
      <c r="A82" s="8" t="inlineStr">
        <is>
          <t>5c426ad2-e010-4abb-bf2c-039f67e4332a</t>
        </is>
      </c>
      <c r="B82" s="8" t="inlineStr">
        <is>
          <t>Corrode</t>
        </is>
      </c>
      <c r="C82" s="8" t="inlineStr">
        <is>
          <t>Eintracht Frankfurt</t>
        </is>
      </c>
      <c r="D82" s="8" t="inlineStr">
        <is>
          <t>ATN</t>
        </is>
      </c>
      <c r="E82" s="8" t="inlineStr">
        <is>
          <t>KAY/O,Omen,Sova,Viper,Waylay</t>
        </is>
      </c>
      <c r="F82" s="8" t="inlineStr">
        <is>
          <t>Chamber,Fade,Omen,Phoenix,Waylay</t>
        </is>
      </c>
      <c r="G82" s="8" t="n">
        <v>13</v>
      </c>
      <c r="H82" s="8" t="n">
        <v>8</v>
      </c>
      <c r="I82" s="8" t="n">
        <v>6</v>
      </c>
      <c r="J82" s="8" t="n">
        <v>6</v>
      </c>
      <c r="K82" s="8" t="n">
        <v>0</v>
      </c>
      <c r="L82" s="8" t="n">
        <v>1</v>
      </c>
      <c r="M82" s="8" t="n">
        <v>6</v>
      </c>
      <c r="N82" s="8" t="n">
        <v>6</v>
      </c>
      <c r="O82" s="8" t="n">
        <v>7</v>
      </c>
      <c r="P82" s="8" t="n">
        <v>2</v>
      </c>
      <c r="Q82" s="8" t="inlineStr">
        <is>
          <t>2026-01-18</t>
        </is>
      </c>
      <c r="R82" s="8" t="inlineStr">
        <is>
          <t>Eintracht Frankfurt</t>
        </is>
      </c>
      <c r="S82" s="8" t="inlineStr">
        <is>
          <t>Corrode_KAY/O,Omen,Sova,Viper,Waylay</t>
        </is>
      </c>
    </row>
    <row r="83">
      <c r="A83" s="12" t="inlineStr">
        <is>
          <t>325eee24-b585-4557-89cd-ba3b347c74a1</t>
        </is>
      </c>
      <c r="B83" s="12" t="inlineStr">
        <is>
          <t>Bind</t>
        </is>
      </c>
      <c r="C83" s="12" t="inlineStr">
        <is>
          <t>Eintracht Frankfurt</t>
        </is>
      </c>
      <c r="D83" s="12" t="inlineStr">
        <is>
          <t>ATN</t>
        </is>
      </c>
      <c r="E83" s="12" t="inlineStr">
        <is>
          <t>Brimstone,Fade,Viper,Waylay,Yoru</t>
        </is>
      </c>
      <c r="F83" s="12" t="inlineStr">
        <is>
          <t>Astra,Chamber,Raze,Skye,Waylay</t>
        </is>
      </c>
      <c r="G83" s="12" t="n">
        <v>13</v>
      </c>
      <c r="H83" s="12" t="n">
        <v>15</v>
      </c>
      <c r="I83" s="12" t="n">
        <v>6</v>
      </c>
      <c r="J83" s="12" t="n">
        <v>6</v>
      </c>
      <c r="K83" s="12" t="n">
        <v>0</v>
      </c>
      <c r="L83" s="12" t="n">
        <v>0</v>
      </c>
      <c r="M83" s="12" t="n">
        <v>7</v>
      </c>
      <c r="N83" s="12" t="n">
        <v>7</v>
      </c>
      <c r="O83" s="12" t="n">
        <v>6</v>
      </c>
      <c r="P83" s="12" t="n">
        <v>8</v>
      </c>
      <c r="Q83" s="12" t="inlineStr">
        <is>
          <t>2026-01-18</t>
        </is>
      </c>
      <c r="R83" s="12" t="inlineStr">
        <is>
          <t>ATN</t>
        </is>
      </c>
      <c r="S83" s="12" t="inlineStr">
        <is>
          <t>Bind_Brimstone,Fade,Viper,Waylay,Yoru</t>
        </is>
      </c>
    </row>
    <row r="84">
      <c r="A84" s="8" t="inlineStr">
        <is>
          <t>d3a86a5b-42de-472f-9953-fec5073d0dfe</t>
        </is>
      </c>
      <c r="B84" s="8" t="inlineStr">
        <is>
          <t>Abyss</t>
        </is>
      </c>
      <c r="C84" s="8" t="inlineStr">
        <is>
          <t>Eintracht Frankfurt</t>
        </is>
      </c>
      <c r="D84" s="8" t="inlineStr">
        <is>
          <t>ATN</t>
        </is>
      </c>
      <c r="E84" s="8" t="inlineStr">
        <is>
          <t>Astra,Sova,Veto,Waylay,Yoru</t>
        </is>
      </c>
      <c r="F84" s="8" t="inlineStr">
        <is>
          <t>Astra,Chamber,Iso,Sova,Waylay</t>
        </is>
      </c>
      <c r="G84" s="8" t="n">
        <v>13</v>
      </c>
      <c r="H84" s="8" t="n">
        <v>7</v>
      </c>
      <c r="I84" s="8" t="n">
        <v>10</v>
      </c>
      <c r="J84" s="8" t="n">
        <v>2</v>
      </c>
      <c r="K84" s="8" t="n">
        <v>1</v>
      </c>
      <c r="L84" s="8" t="n">
        <v>1</v>
      </c>
      <c r="M84" s="8" t="n">
        <v>10</v>
      </c>
      <c r="N84" s="8" t="n">
        <v>2</v>
      </c>
      <c r="O84" s="8" t="n">
        <v>3</v>
      </c>
      <c r="P84" s="8" t="n">
        <v>5</v>
      </c>
      <c r="Q84" s="8" t="inlineStr">
        <is>
          <t>2026-01-18</t>
        </is>
      </c>
      <c r="R84" s="8" t="inlineStr">
        <is>
          <t>Eintracht Frankfurt</t>
        </is>
      </c>
      <c r="S84" s="8" t="inlineStr">
        <is>
          <t>Abyss_Astra,Sova,Veto,Waylay,Yoru</t>
        </is>
      </c>
    </row>
    <row r="85">
      <c r="A85" s="12" t="inlineStr">
        <is>
          <t>74b527b0-86b3-402b-9f23-21f788ea703a</t>
        </is>
      </c>
      <c r="B85" s="12" t="inlineStr">
        <is>
          <t>Bind</t>
        </is>
      </c>
      <c r="C85" s="12" t="inlineStr">
        <is>
          <t>Eintracht Frankfurt</t>
        </is>
      </c>
      <c r="D85" s="12" t="inlineStr">
        <is>
          <t>CGN</t>
        </is>
      </c>
      <c r="E85" s="12" t="inlineStr">
        <is>
          <t>Brimstone,Fade,Viper,Waylay,Yoru</t>
        </is>
      </c>
      <c r="F85" s="12" t="inlineStr">
        <is>
          <t>Brimstone,Fade,Raze,Sage,Viper</t>
        </is>
      </c>
      <c r="G85" s="12" t="n">
        <v>13</v>
      </c>
      <c r="H85" s="12" t="n">
        <v>4</v>
      </c>
      <c r="I85" s="12" t="n">
        <v>9</v>
      </c>
      <c r="J85" s="12" t="n">
        <v>3</v>
      </c>
      <c r="K85" s="12" t="n">
        <v>1</v>
      </c>
      <c r="L85" s="12" t="n">
        <v>1</v>
      </c>
      <c r="M85" s="12" t="n">
        <v>4</v>
      </c>
      <c r="N85" s="12" t="n">
        <v>1</v>
      </c>
      <c r="O85" s="12" t="n">
        <v>9</v>
      </c>
      <c r="P85" s="12" t="n">
        <v>3</v>
      </c>
      <c r="Q85" s="12" t="inlineStr">
        <is>
          <t>2026-01-15</t>
        </is>
      </c>
      <c r="R85" s="12" t="inlineStr">
        <is>
          <t>Eintracht Frankfurt</t>
        </is>
      </c>
      <c r="S85" s="12" t="inlineStr">
        <is>
          <t>Bind_Brimstone,Fade,Viper,Waylay,Yoru</t>
        </is>
      </c>
    </row>
    <row r="86">
      <c r="A86" s="8" t="inlineStr">
        <is>
          <t>4b2957b7-2326-4fb7-b591-26b6e55b3861</t>
        </is>
      </c>
      <c r="B86" s="8" t="inlineStr">
        <is>
          <t>Haven</t>
        </is>
      </c>
      <c r="C86" s="8" t="inlineStr">
        <is>
          <t>Eintracht Frankfurt</t>
        </is>
      </c>
      <c r="D86" s="8" t="inlineStr">
        <is>
          <t>6GPA</t>
        </is>
      </c>
      <c r="E86" s="8" t="inlineStr">
        <is>
          <t>Killjoy,Neon,Omen,Sova,Viper</t>
        </is>
      </c>
      <c r="F86" s="8" t="inlineStr">
        <is>
          <t>Cypher,Neon,Omen,Sova,Yoru</t>
        </is>
      </c>
      <c r="G86" s="8" t="n">
        <v>13</v>
      </c>
      <c r="H86" s="8" t="n">
        <v>5</v>
      </c>
      <c r="I86" s="8" t="n">
        <v>8</v>
      </c>
      <c r="J86" s="8" t="n">
        <v>4</v>
      </c>
      <c r="K86" s="8" t="n">
        <v>0</v>
      </c>
      <c r="L86" s="8" t="n">
        <v>1</v>
      </c>
      <c r="M86" s="8" t="n">
        <v>8</v>
      </c>
      <c r="N86" s="8" t="n">
        <v>4</v>
      </c>
      <c r="O86" s="8" t="n">
        <v>5</v>
      </c>
      <c r="P86" s="8" t="n">
        <v>1</v>
      </c>
      <c r="Q86" s="8" t="inlineStr">
        <is>
          <t>2026-01-15</t>
        </is>
      </c>
      <c r="R86" s="8" t="inlineStr">
        <is>
          <t>Eintracht Frankfurt</t>
        </is>
      </c>
      <c r="S86" s="8" t="inlineStr">
        <is>
          <t>Haven_Killjoy,Neon,Omen,Sova,Viper</t>
        </is>
      </c>
    </row>
    <row r="87">
      <c r="A87" s="12" t="inlineStr">
        <is>
          <t>026f5435-c303-4f77-be11-be97b0add9fc</t>
        </is>
      </c>
      <c r="B87" s="12" t="inlineStr">
        <is>
          <t>Abyss</t>
        </is>
      </c>
      <c r="C87" s="12" t="inlineStr">
        <is>
          <t>Eintracht Frankfurt</t>
        </is>
      </c>
      <c r="D87" s="12" t="inlineStr">
        <is>
          <t>FKS</t>
        </is>
      </c>
      <c r="E87" s="12" t="inlineStr">
        <is>
          <t>Astra,Sova,Veto,Waylay,Yoru</t>
        </is>
      </c>
      <c r="F87" s="12" t="inlineStr">
        <is>
          <t>Astra,Reyna,Sova,Waylay,Yoru</t>
        </is>
      </c>
      <c r="G87" s="12" t="n">
        <v>13</v>
      </c>
      <c r="H87" s="12" t="n">
        <v>5</v>
      </c>
      <c r="I87" s="12" t="n">
        <v>7</v>
      </c>
      <c r="J87" s="12" t="n">
        <v>5</v>
      </c>
      <c r="K87" s="12" t="n">
        <v>1</v>
      </c>
      <c r="L87" s="12" t="n">
        <v>1</v>
      </c>
      <c r="M87" s="12" t="n">
        <v>6</v>
      </c>
      <c r="N87" s="12" t="n">
        <v>0</v>
      </c>
      <c r="O87" s="12" t="n">
        <v>7</v>
      </c>
      <c r="P87" s="12" t="n">
        <v>5</v>
      </c>
      <c r="Q87" s="12" t="inlineStr">
        <is>
          <t>2026-01-15</t>
        </is>
      </c>
      <c r="R87" s="12" t="inlineStr">
        <is>
          <t>Eintracht Frankfurt</t>
        </is>
      </c>
      <c r="S87" s="12" t="inlineStr">
        <is>
          <t>Abyss_Astra,Sova,Veto,Waylay,Yoru</t>
        </is>
      </c>
    </row>
    <row r="88">
      <c r="A88" s="8" t="inlineStr">
        <is>
          <t>251458f5-e226-4f91-9105-495585aa6e4e</t>
        </is>
      </c>
      <c r="B88" s="8" t="inlineStr">
        <is>
          <t>Haven</t>
        </is>
      </c>
      <c r="C88" s="8" t="inlineStr">
        <is>
          <t>Eintracht Frankfurt</t>
        </is>
      </c>
      <c r="D88" s="8" t="inlineStr">
        <is>
          <t>FKS</t>
        </is>
      </c>
      <c r="E88" s="8" t="inlineStr">
        <is>
          <t>Killjoy,Neon,Omen,Sova,Viper</t>
        </is>
      </c>
      <c r="F88" s="8" t="inlineStr">
        <is>
          <t>Killjoy,Neon,Omen,Sova,Viper</t>
        </is>
      </c>
      <c r="G88" s="8" t="n">
        <v>13</v>
      </c>
      <c r="H88" s="8" t="n">
        <v>9</v>
      </c>
      <c r="I88" s="8" t="n">
        <v>7</v>
      </c>
      <c r="J88" s="8" t="n">
        <v>5</v>
      </c>
      <c r="K88" s="8" t="n">
        <v>0</v>
      </c>
      <c r="L88" s="8" t="n">
        <v>0</v>
      </c>
      <c r="M88" s="8" t="n">
        <v>7</v>
      </c>
      <c r="N88" s="8" t="n">
        <v>5</v>
      </c>
      <c r="O88" s="8" t="n">
        <v>6</v>
      </c>
      <c r="P88" s="8" t="n">
        <v>4</v>
      </c>
      <c r="Q88" s="8" t="inlineStr">
        <is>
          <t>2026-01-12</t>
        </is>
      </c>
      <c r="R88" s="8" t="inlineStr">
        <is>
          <t>Eintracht Frankfurt</t>
        </is>
      </c>
      <c r="S88" s="8" t="inlineStr">
        <is>
          <t>Haven_Killjoy,Neon,Omen,Sova,Viper</t>
        </is>
      </c>
    </row>
    <row r="89">
      <c r="A89" s="12" t="inlineStr">
        <is>
          <t>8b8664cc-d831-4ece-9957-f7f547c3e897</t>
        </is>
      </c>
      <c r="B89" s="12" t="inlineStr">
        <is>
          <t>Pearl</t>
        </is>
      </c>
      <c r="C89" s="12" t="inlineStr">
        <is>
          <t>Eintracht Frankfurt</t>
        </is>
      </c>
      <c r="D89" s="12" t="inlineStr">
        <is>
          <t>CGN</t>
        </is>
      </c>
      <c r="E89" s="12" t="inlineStr">
        <is>
          <t>Astra,Fade,Killjoy,Neon,Yoru</t>
        </is>
      </c>
      <c r="F89" s="12" t="inlineStr">
        <is>
          <t>Astra,Cypher,Sova,Tejo,Waylay</t>
        </is>
      </c>
      <c r="G89" s="12" t="n">
        <v>13</v>
      </c>
      <c r="H89" s="12" t="n">
        <v>11</v>
      </c>
      <c r="I89" s="12" t="n">
        <v>5</v>
      </c>
      <c r="J89" s="12" t="n">
        <v>7</v>
      </c>
      <c r="K89" s="12" t="n">
        <v>0</v>
      </c>
      <c r="L89" s="12" t="n">
        <v>1</v>
      </c>
      <c r="M89" s="12" t="n">
        <v>5</v>
      </c>
      <c r="N89" s="12" t="n">
        <v>7</v>
      </c>
      <c r="O89" s="12" t="n">
        <v>8</v>
      </c>
      <c r="P89" s="12" t="n">
        <v>4</v>
      </c>
      <c r="Q89" s="12" t="inlineStr">
        <is>
          <t>2026-01-12</t>
        </is>
      </c>
      <c r="R89" s="12" t="inlineStr">
        <is>
          <t>Eintracht Frankfurt</t>
        </is>
      </c>
      <c r="S89" s="12" t="inlineStr">
        <is>
          <t>Pearl_Astra,Fade,Killjoy,Neon,Yoru</t>
        </is>
      </c>
    </row>
    <row r="90">
      <c r="A90" s="8" t="inlineStr">
        <is>
          <t>167702a4-70a3-441d-a50e-c30df217174b</t>
        </is>
      </c>
      <c r="B90" s="8" t="inlineStr">
        <is>
          <t>Bind</t>
        </is>
      </c>
      <c r="C90" s="8" t="inlineStr">
        <is>
          <t>Eintracht Frankfurt</t>
        </is>
      </c>
      <c r="D90" s="8" t="inlineStr">
        <is>
          <t>DXG</t>
        </is>
      </c>
      <c r="E90" s="8" t="inlineStr">
        <is>
          <t>Brimstone,Fade,Viper,Waylay,Yoru</t>
        </is>
      </c>
      <c r="F90" s="8" t="inlineStr">
        <is>
          <t>Brimstone,Fade,KAY/O,Raze,Viper</t>
        </is>
      </c>
      <c r="G90" s="8" t="n">
        <v>13</v>
      </c>
      <c r="H90" s="8" t="n">
        <v>11</v>
      </c>
      <c r="I90" s="8" t="n">
        <v>6</v>
      </c>
      <c r="J90" s="8" t="n">
        <v>6</v>
      </c>
      <c r="K90" s="8" t="n">
        <v>1</v>
      </c>
      <c r="L90" s="8" t="n">
        <v>1</v>
      </c>
      <c r="M90" s="8" t="n">
        <v>6</v>
      </c>
      <c r="N90" s="8" t="n">
        <v>6</v>
      </c>
      <c r="O90" s="8" t="n">
        <v>7</v>
      </c>
      <c r="P90" s="8" t="n">
        <v>5</v>
      </c>
      <c r="Q90" s="8" t="inlineStr">
        <is>
          <t>2026-01-12</t>
        </is>
      </c>
      <c r="R90" s="8" t="inlineStr">
        <is>
          <t>Eintracht Frankfurt</t>
        </is>
      </c>
      <c r="S90" s="8" t="inlineStr">
        <is>
          <t>Bind_Brimstone,Fade,Viper,Waylay,Yoru</t>
        </is>
      </c>
    </row>
    <row r="91">
      <c r="A91" s="12" t="inlineStr">
        <is>
          <t>c1d5d0ea-74db-43c4-a870-ed91e7715f9e</t>
        </is>
      </c>
      <c r="B91" s="12" t="inlineStr">
        <is>
          <t>Haven</t>
        </is>
      </c>
      <c r="C91" s="12" t="inlineStr">
        <is>
          <t>Eintracht Frankfurt</t>
        </is>
      </c>
      <c r="D91" s="12" t="inlineStr">
        <is>
          <t>BDX</t>
        </is>
      </c>
      <c r="E91" s="12" t="inlineStr">
        <is>
          <t>Killjoy,Neon,Omen,Sova,Viper</t>
        </is>
      </c>
      <c r="F91" s="12" t="inlineStr">
        <is>
          <t>Killjoy,Omen,Sova,Viper,Yoru</t>
        </is>
      </c>
      <c r="G91" s="12" t="n">
        <v>13</v>
      </c>
      <c r="H91" s="12" t="n">
        <v>4</v>
      </c>
      <c r="I91" s="12" t="n">
        <v>10</v>
      </c>
      <c r="J91" s="12" t="n">
        <v>2</v>
      </c>
      <c r="K91" s="12" t="n">
        <v>0</v>
      </c>
      <c r="L91" s="12" t="n">
        <v>1</v>
      </c>
      <c r="M91" s="12" t="n">
        <v>3</v>
      </c>
      <c r="N91" s="12" t="n">
        <v>2</v>
      </c>
      <c r="O91" s="12" t="n">
        <v>10</v>
      </c>
      <c r="P91" s="12" t="n">
        <v>2</v>
      </c>
      <c r="Q91" s="12" t="inlineStr">
        <is>
          <t>2026-01-10</t>
        </is>
      </c>
      <c r="R91" s="12" t="inlineStr">
        <is>
          <t>Eintracht Frankfurt</t>
        </is>
      </c>
      <c r="S91" s="12" t="inlineStr">
        <is>
          <t>Haven_Killjoy,Neon,Omen,Sova,Viper</t>
        </is>
      </c>
    </row>
    <row r="92">
      <c r="A92" s="8" t="inlineStr">
        <is>
          <t>7b82c0be-d492-4573-bfa4-cccfb3686200</t>
        </is>
      </c>
      <c r="B92" s="8" t="inlineStr">
        <is>
          <t>Split</t>
        </is>
      </c>
      <c r="C92" s="8" t="inlineStr">
        <is>
          <t>Eintracht Frankfurt</t>
        </is>
      </c>
      <c r="D92" s="8" t="inlineStr">
        <is>
          <t>BDX</t>
        </is>
      </c>
      <c r="E92" s="8" t="inlineStr">
        <is>
          <t>Fade,Omen,Viper,Waylay,Yoru</t>
        </is>
      </c>
      <c r="F92" s="8" t="inlineStr">
        <is>
          <t>Fade,Omen,Raze,Skye,Viper</t>
        </is>
      </c>
      <c r="G92" s="8" t="n">
        <v>6</v>
      </c>
      <c r="H92" s="8" t="n">
        <v>13</v>
      </c>
      <c r="I92" s="8" t="n">
        <v>5</v>
      </c>
      <c r="J92" s="8" t="n">
        <v>7</v>
      </c>
      <c r="K92" s="8" t="n">
        <v>0</v>
      </c>
      <c r="L92" s="8" t="n">
        <v>0</v>
      </c>
      <c r="M92" s="8" t="n">
        <v>1</v>
      </c>
      <c r="N92" s="8" t="n">
        <v>6</v>
      </c>
      <c r="O92" s="8" t="n">
        <v>5</v>
      </c>
      <c r="P92" s="8" t="n">
        <v>7</v>
      </c>
      <c r="Q92" s="8" t="inlineStr">
        <is>
          <t>2026-01-10</t>
        </is>
      </c>
      <c r="R92" s="8" t="inlineStr">
        <is>
          <t>BDX</t>
        </is>
      </c>
      <c r="S92" s="8" t="inlineStr">
        <is>
          <t>Split_Fade,Omen,Viper,Waylay,Yoru</t>
        </is>
      </c>
    </row>
    <row r="93">
      <c r="A93" s="12" t="inlineStr">
        <is>
          <t>7a4b9424-7168-410b-98a1-fb1e9d071370</t>
        </is>
      </c>
      <c r="B93" s="12" t="inlineStr">
        <is>
          <t>Bind</t>
        </is>
      </c>
      <c r="C93" s="12" t="inlineStr">
        <is>
          <t>Eintracht Frankfurt</t>
        </is>
      </c>
      <c r="D93" s="12" t="inlineStr">
        <is>
          <t>BDX</t>
        </is>
      </c>
      <c r="E93" s="12" t="inlineStr">
        <is>
          <t>Brimstone,Fade,Viper,Waylay,Yoru</t>
        </is>
      </c>
      <c r="F93" s="12" t="inlineStr">
        <is>
          <t>Astra,Fade,Raze,Skye,Viper</t>
        </is>
      </c>
      <c r="G93" s="12" t="n">
        <v>13</v>
      </c>
      <c r="H93" s="12" t="n">
        <v>10</v>
      </c>
      <c r="I93" s="12" t="n">
        <v>6</v>
      </c>
      <c r="J93" s="12" t="n">
        <v>6</v>
      </c>
      <c r="K93" s="12" t="n">
        <v>0</v>
      </c>
      <c r="L93" s="12" t="n">
        <v>0</v>
      </c>
      <c r="M93" s="12" t="n">
        <v>7</v>
      </c>
      <c r="N93" s="12" t="n">
        <v>4</v>
      </c>
      <c r="O93" s="12" t="n">
        <v>6</v>
      </c>
      <c r="P93" s="12" t="n">
        <v>6</v>
      </c>
      <c r="Q93" s="12" t="inlineStr">
        <is>
          <t>2026-01-10</t>
        </is>
      </c>
      <c r="R93" s="12" t="inlineStr">
        <is>
          <t>Eintracht Frankfurt</t>
        </is>
      </c>
      <c r="S93" s="12" t="inlineStr">
        <is>
          <t>Bind_Brimstone,Fade,Viper,Waylay,Yoru</t>
        </is>
      </c>
    </row>
    <row r="94">
      <c r="A94" s="8" t="inlineStr">
        <is>
          <t>f86646fc-7e94-4a21-ad9d-e8664fd5883b</t>
        </is>
      </c>
      <c r="B94" s="8" t="inlineStr">
        <is>
          <t>Haven</t>
        </is>
      </c>
      <c r="C94" s="8" t="inlineStr">
        <is>
          <t>Joblife</t>
        </is>
      </c>
      <c r="D94" s="8" t="inlineStr">
        <is>
          <t>EP</t>
        </is>
      </c>
      <c r="E94" s="8" t="inlineStr">
        <is>
          <t>Brimstone,Cypher,Sova,Waylay,Yoru</t>
        </is>
      </c>
      <c r="F94" s="8" t="inlineStr">
        <is>
          <t>Cypher,Neon,Omen,Sova,Yoru</t>
        </is>
      </c>
      <c r="G94" s="8" t="n">
        <v>8</v>
      </c>
      <c r="H94" s="8" t="n">
        <v>13</v>
      </c>
      <c r="I94" s="8" t="n">
        <v>8</v>
      </c>
      <c r="J94" s="8" t="n">
        <v>4</v>
      </c>
      <c r="K94" s="8" t="n">
        <v>1</v>
      </c>
      <c r="L94" s="8" t="n">
        <v>0</v>
      </c>
      <c r="M94" s="8" t="n">
        <v>8</v>
      </c>
      <c r="N94" s="8" t="n">
        <v>4</v>
      </c>
      <c r="O94" s="8" t="n">
        <v>0</v>
      </c>
      <c r="P94" s="8" t="n">
        <v>9</v>
      </c>
      <c r="Q94" s="8" t="inlineStr">
        <is>
          <t>2026-02-22</t>
        </is>
      </c>
      <c r="R94" s="8" t="inlineStr">
        <is>
          <t>EP</t>
        </is>
      </c>
      <c r="S94" s="8" t="inlineStr">
        <is>
          <t>Haven_Brimstone,Cypher,Sova,Waylay,Yoru</t>
        </is>
      </c>
    </row>
    <row r="95">
      <c r="A95" s="12" t="inlineStr">
        <is>
          <t>633eaca3-a0b3-4633-ada0-93cc3592243d</t>
        </is>
      </c>
      <c r="B95" s="12" t="inlineStr">
        <is>
          <t>Pearl</t>
        </is>
      </c>
      <c r="C95" s="12" t="inlineStr">
        <is>
          <t>Joblife</t>
        </is>
      </c>
      <c r="D95" s="12" t="inlineStr">
        <is>
          <t>EP</t>
        </is>
      </c>
      <c r="E95" s="12" t="inlineStr">
        <is>
          <t>Astra,Cypher,Neon,Sova,Yoru</t>
        </is>
      </c>
      <c r="F95" s="12" t="inlineStr">
        <is>
          <t>Astra,Fade,Killjoy,Tejo,Yoru</t>
        </is>
      </c>
      <c r="G95" s="12" t="n">
        <v>9</v>
      </c>
      <c r="H95" s="12" t="n">
        <v>13</v>
      </c>
      <c r="I95" s="12" t="n">
        <v>5</v>
      </c>
      <c r="J95" s="12" t="n">
        <v>7</v>
      </c>
      <c r="K95" s="12" t="n">
        <v>1</v>
      </c>
      <c r="L95" s="12" t="n">
        <v>0</v>
      </c>
      <c r="M95" s="12" t="n">
        <v>4</v>
      </c>
      <c r="N95" s="12" t="n">
        <v>6</v>
      </c>
      <c r="O95" s="12" t="n">
        <v>5</v>
      </c>
      <c r="P95" s="12" t="n">
        <v>7</v>
      </c>
      <c r="Q95" s="12" t="inlineStr">
        <is>
          <t>2026-02-22</t>
        </is>
      </c>
      <c r="R95" s="12" t="inlineStr">
        <is>
          <t>EP</t>
        </is>
      </c>
      <c r="S95" s="12" t="inlineStr">
        <is>
          <t>Pearl_Astra,Cypher,Neon,Sova,Yoru</t>
        </is>
      </c>
    </row>
    <row r="96">
      <c r="A96" s="8" t="inlineStr">
        <is>
          <t>6a36a46f-7bff-4256-86db-06759142b3f8</t>
        </is>
      </c>
      <c r="B96" s="8" t="inlineStr">
        <is>
          <t>Corrode</t>
        </is>
      </c>
      <c r="C96" s="8" t="inlineStr">
        <is>
          <t>Joblife</t>
        </is>
      </c>
      <c r="D96" s="8" t="inlineStr">
        <is>
          <t>STS</t>
        </is>
      </c>
      <c r="E96" s="8" t="inlineStr">
        <is>
          <t>KAY/O,Omen,Sova,Viper,Waylay</t>
        </is>
      </c>
      <c r="F96" s="8" t="inlineStr">
        <is>
          <t>Fade,Omen,Vyse,Waylay,Yoru</t>
        </is>
      </c>
      <c r="G96" s="8" t="n">
        <v>13</v>
      </c>
      <c r="H96" s="8" t="n">
        <v>6</v>
      </c>
      <c r="I96" s="8" t="n">
        <v>8</v>
      </c>
      <c r="J96" s="8" t="n">
        <v>4</v>
      </c>
      <c r="K96" s="8" t="n">
        <v>1</v>
      </c>
      <c r="L96" s="8" t="n">
        <v>0</v>
      </c>
      <c r="M96" s="8" t="n">
        <v>5</v>
      </c>
      <c r="N96" s="8" t="n">
        <v>2</v>
      </c>
      <c r="O96" s="8" t="n">
        <v>8</v>
      </c>
      <c r="P96" s="8" t="n">
        <v>4</v>
      </c>
      <c r="Q96" s="8" t="inlineStr">
        <is>
          <t>2026-02-21</t>
        </is>
      </c>
      <c r="R96" s="8" t="inlineStr">
        <is>
          <t>Joblife</t>
        </is>
      </c>
      <c r="S96" s="8" t="inlineStr">
        <is>
          <t>Corrode_KAY/O,Omen,Sova,Viper,Waylay</t>
        </is>
      </c>
    </row>
    <row r="97">
      <c r="A97" s="12" t="inlineStr">
        <is>
          <t>75198a92-fd4e-4d57-95c8-67c35f725b0e</t>
        </is>
      </c>
      <c r="B97" s="12" t="inlineStr">
        <is>
          <t>Abyss</t>
        </is>
      </c>
      <c r="C97" s="12" t="inlineStr">
        <is>
          <t>Joblife</t>
        </is>
      </c>
      <c r="D97" s="12" t="inlineStr">
        <is>
          <t>STS</t>
        </is>
      </c>
      <c r="E97" s="12" t="inlineStr">
        <is>
          <t>Astra,Jett,Sova,Veto,Yoru</t>
        </is>
      </c>
      <c r="F97" s="12" t="inlineStr">
        <is>
          <t>Astra,Cypher,Sova,Waylay,Yoru</t>
        </is>
      </c>
      <c r="G97" s="12" t="n">
        <v>13</v>
      </c>
      <c r="H97" s="12" t="n">
        <v>7</v>
      </c>
      <c r="I97" s="12" t="n">
        <v>8</v>
      </c>
      <c r="J97" s="12" t="n">
        <v>4</v>
      </c>
      <c r="K97" s="12" t="n">
        <v>0</v>
      </c>
      <c r="L97" s="12" t="n">
        <v>1</v>
      </c>
      <c r="M97" s="12" t="n">
        <v>8</v>
      </c>
      <c r="N97" s="12" t="n">
        <v>4</v>
      </c>
      <c r="O97" s="12" t="n">
        <v>5</v>
      </c>
      <c r="P97" s="12" t="n">
        <v>3</v>
      </c>
      <c r="Q97" s="12" t="inlineStr">
        <is>
          <t>2026-02-21</t>
        </is>
      </c>
      <c r="R97" s="12" t="inlineStr">
        <is>
          <t>Joblife</t>
        </is>
      </c>
      <c r="S97" s="12" t="inlineStr">
        <is>
          <t>Abyss_Astra,Jett,Sova,Veto,Yoru</t>
        </is>
      </c>
    </row>
    <row r="98">
      <c r="A98" s="8" t="inlineStr">
        <is>
          <t>013d3da9-8c7b-4dc8-88a8-e70e2b87cf7a</t>
        </is>
      </c>
      <c r="B98" s="8" t="inlineStr">
        <is>
          <t>Ascent</t>
        </is>
      </c>
      <c r="C98" s="8" t="inlineStr">
        <is>
          <t>Joblife</t>
        </is>
      </c>
      <c r="D98" s="8" t="inlineStr">
        <is>
          <t>STS</t>
        </is>
      </c>
      <c r="E98" s="8" t="inlineStr">
        <is>
          <t>Chamber,Iso,Jett,Reyna,Sage</t>
        </is>
      </c>
      <c r="F98" s="8" t="inlineStr">
        <is>
          <t>Chamber,Clove,Jett,Sage,Yoru</t>
        </is>
      </c>
      <c r="G98" s="8" t="n">
        <v>14</v>
      </c>
      <c r="H98" s="8" t="n">
        <v>12</v>
      </c>
      <c r="I98" s="8" t="n">
        <v>12</v>
      </c>
      <c r="J98" s="8" t="n">
        <v>0</v>
      </c>
      <c r="K98" s="8" t="n">
        <v>1</v>
      </c>
      <c r="L98" s="8" t="n">
        <v>0</v>
      </c>
      <c r="M98" s="8" t="n">
        <v>13</v>
      </c>
      <c r="N98" s="8" t="n">
        <v>0</v>
      </c>
      <c r="O98" s="8" t="n">
        <v>1</v>
      </c>
      <c r="P98" s="8" t="n">
        <v>12</v>
      </c>
      <c r="Q98" s="8" t="inlineStr">
        <is>
          <t>2026-02-21</t>
        </is>
      </c>
      <c r="R98" s="8" t="inlineStr">
        <is>
          <t>Joblife</t>
        </is>
      </c>
      <c r="S98" s="8" t="inlineStr">
        <is>
          <t>Ascent_Chamber,Iso,Jett,Reyna,Sage</t>
        </is>
      </c>
    </row>
    <row r="99">
      <c r="A99" s="12" t="inlineStr">
        <is>
          <t>9fbfdc84-075b-4199-871c-07e77ceecaf4</t>
        </is>
      </c>
      <c r="B99" s="12" t="inlineStr">
        <is>
          <t>Split</t>
        </is>
      </c>
      <c r="C99" s="12" t="inlineStr">
        <is>
          <t>Joblife</t>
        </is>
      </c>
      <c r="D99" s="12" t="inlineStr">
        <is>
          <t>FUT</t>
        </is>
      </c>
      <c r="E99" s="12" t="inlineStr">
        <is>
          <t>Omen,Tejo,Viper,Waylay,Yoru</t>
        </is>
      </c>
      <c r="F99" s="12" t="inlineStr">
        <is>
          <t>Astra,Fade,Viper,Waylay,Yoru</t>
        </is>
      </c>
      <c r="G99" s="12" t="n">
        <v>11</v>
      </c>
      <c r="H99" s="12" t="n">
        <v>13</v>
      </c>
      <c r="I99" s="12" t="n">
        <v>4</v>
      </c>
      <c r="J99" s="12" t="n">
        <v>8</v>
      </c>
      <c r="K99" s="12" t="n">
        <v>0</v>
      </c>
      <c r="L99" s="12" t="n">
        <v>0</v>
      </c>
      <c r="M99" s="12" t="n">
        <v>7</v>
      </c>
      <c r="N99" s="12" t="n">
        <v>5</v>
      </c>
      <c r="O99" s="12" t="n">
        <v>4</v>
      </c>
      <c r="P99" s="12" t="n">
        <v>8</v>
      </c>
      <c r="Q99" s="12" t="inlineStr">
        <is>
          <t>2026-02-19</t>
        </is>
      </c>
      <c r="R99" s="12" t="inlineStr">
        <is>
          <t>FUT</t>
        </is>
      </c>
      <c r="S99" s="12" t="inlineStr">
        <is>
          <t>Split_Omen,Tejo,Viper,Waylay,Yoru</t>
        </is>
      </c>
    </row>
    <row r="100">
      <c r="A100" s="8" t="inlineStr">
        <is>
          <t>952ac3bc-1612-44f7-b091-54661cccd92a</t>
        </is>
      </c>
      <c r="B100" s="8" t="inlineStr">
        <is>
          <t>Corrode</t>
        </is>
      </c>
      <c r="C100" s="8" t="inlineStr">
        <is>
          <t>Joblife</t>
        </is>
      </c>
      <c r="D100" s="8" t="inlineStr">
        <is>
          <t>FUT</t>
        </is>
      </c>
      <c r="E100" s="8" t="inlineStr">
        <is>
          <t>KAY/O,Omen,Sova,Viper,Waylay</t>
        </is>
      </c>
      <c r="F100" s="8" t="inlineStr">
        <is>
          <t>Fade,KAY/O,Omen,Vyse,Waylay</t>
        </is>
      </c>
      <c r="G100" s="8" t="n">
        <v>12</v>
      </c>
      <c r="H100" s="8" t="n">
        <v>14</v>
      </c>
      <c r="I100" s="8" t="n">
        <v>9</v>
      </c>
      <c r="J100" s="8" t="n">
        <v>3</v>
      </c>
      <c r="K100" s="8" t="n">
        <v>1</v>
      </c>
      <c r="L100" s="8" t="n">
        <v>0</v>
      </c>
      <c r="M100" s="8" t="n">
        <v>9</v>
      </c>
      <c r="N100" s="8" t="n">
        <v>4</v>
      </c>
      <c r="O100" s="8" t="n">
        <v>3</v>
      </c>
      <c r="P100" s="8" t="n">
        <v>10</v>
      </c>
      <c r="Q100" s="8" t="inlineStr">
        <is>
          <t>2026-02-19</t>
        </is>
      </c>
      <c r="R100" s="8" t="inlineStr">
        <is>
          <t>FUT</t>
        </is>
      </c>
      <c r="S100" s="8" t="inlineStr">
        <is>
          <t>Corrode_KAY/O,Omen,Sova,Viper,Waylay</t>
        </is>
      </c>
    </row>
    <row r="101">
      <c r="A101" s="12" t="inlineStr">
        <is>
          <t>ef04b9ad-1fdd-42e7-83ed-076cce73866c</t>
        </is>
      </c>
      <c r="B101" s="12" t="inlineStr">
        <is>
          <t>Split</t>
        </is>
      </c>
      <c r="C101" s="12" t="inlineStr">
        <is>
          <t>Joblife</t>
        </is>
      </c>
      <c r="D101" s="12" t="inlineStr">
        <is>
          <t>MDR</t>
        </is>
      </c>
      <c r="E101" s="12" t="inlineStr">
        <is>
          <t>Omen,Tejo,Viper,Waylay,Yoru</t>
        </is>
      </c>
      <c r="F101" s="12" t="inlineStr">
        <is>
          <t>Fade,Omen,Viper,Waylay,Yoru</t>
        </is>
      </c>
      <c r="G101" s="12" t="n">
        <v>13</v>
      </c>
      <c r="H101" s="12" t="n">
        <v>9</v>
      </c>
      <c r="I101" s="12" t="n">
        <v>7</v>
      </c>
      <c r="J101" s="12" t="n">
        <v>5</v>
      </c>
      <c r="K101" s="12" t="n">
        <v>1</v>
      </c>
      <c r="L101" s="12" t="n">
        <v>0</v>
      </c>
      <c r="M101" s="12" t="n">
        <v>7</v>
      </c>
      <c r="N101" s="12" t="n">
        <v>5</v>
      </c>
      <c r="O101" s="12" t="n">
        <v>6</v>
      </c>
      <c r="P101" s="12" t="n">
        <v>4</v>
      </c>
      <c r="Q101" s="12" t="inlineStr">
        <is>
          <t>2026-02-11</t>
        </is>
      </c>
      <c r="R101" s="12" t="inlineStr">
        <is>
          <t>Joblife</t>
        </is>
      </c>
      <c r="S101" s="12" t="inlineStr">
        <is>
          <t>Split_Omen,Tejo,Viper,Waylay,Yoru</t>
        </is>
      </c>
    </row>
    <row r="102">
      <c r="A102" s="8" t="inlineStr">
        <is>
          <t>f1c960b4-38df-4691-bcee-979eeee87932</t>
        </is>
      </c>
      <c r="B102" s="8" t="inlineStr">
        <is>
          <t>Pearl</t>
        </is>
      </c>
      <c r="C102" s="8" t="inlineStr">
        <is>
          <t>Joblife</t>
        </is>
      </c>
      <c r="D102" s="8" t="inlineStr">
        <is>
          <t>MDR</t>
        </is>
      </c>
      <c r="E102" s="8" t="inlineStr">
        <is>
          <t>Astra,Neon,Sova,Veto,Yoru</t>
        </is>
      </c>
      <c r="F102" s="8" t="inlineStr">
        <is>
          <t>Astra,Cypher,Sova,Tejo,Waylay</t>
        </is>
      </c>
      <c r="G102" s="8" t="n">
        <v>5</v>
      </c>
      <c r="H102" s="8" t="n">
        <v>13</v>
      </c>
      <c r="I102" s="8" t="n">
        <v>3</v>
      </c>
      <c r="J102" s="8" t="n">
        <v>9</v>
      </c>
      <c r="K102" s="8" t="n">
        <v>0</v>
      </c>
      <c r="L102" s="8" t="n">
        <v>1</v>
      </c>
      <c r="M102" s="8" t="n">
        <v>2</v>
      </c>
      <c r="N102" s="8" t="n">
        <v>4</v>
      </c>
      <c r="O102" s="8" t="n">
        <v>3</v>
      </c>
      <c r="P102" s="8" t="n">
        <v>9</v>
      </c>
      <c r="Q102" s="8" t="inlineStr">
        <is>
          <t>2026-02-11</t>
        </is>
      </c>
      <c r="R102" s="8" t="inlineStr">
        <is>
          <t>MDR</t>
        </is>
      </c>
      <c r="S102" s="8" t="inlineStr">
        <is>
          <t>Pearl_Astra,Neon,Sova,Veto,Yoru</t>
        </is>
      </c>
    </row>
    <row r="103">
      <c r="A103" s="12" t="inlineStr">
        <is>
          <t>740033c5-9cf8-41cd-984d-2307be64668b</t>
        </is>
      </c>
      <c r="B103" s="12" t="inlineStr">
        <is>
          <t>Bind</t>
        </is>
      </c>
      <c r="C103" s="12" t="inlineStr">
        <is>
          <t>Joblife</t>
        </is>
      </c>
      <c r="D103" s="12" t="inlineStr">
        <is>
          <t>MDR</t>
        </is>
      </c>
      <c r="E103" s="12" t="inlineStr">
        <is>
          <t>Brimstone,Fade,Viper,Waylay,Yoru</t>
        </is>
      </c>
      <c r="F103" s="12" t="inlineStr">
        <is>
          <t>Brimstone,Raze,Sage,Skye,Viper</t>
        </is>
      </c>
      <c r="G103" s="12" t="n">
        <v>13</v>
      </c>
      <c r="H103" s="12" t="n">
        <v>11</v>
      </c>
      <c r="I103" s="12" t="n">
        <v>8</v>
      </c>
      <c r="J103" s="12" t="n">
        <v>4</v>
      </c>
      <c r="K103" s="12" t="n">
        <v>1</v>
      </c>
      <c r="L103" s="12" t="n">
        <v>1</v>
      </c>
      <c r="M103" s="12" t="n">
        <v>8</v>
      </c>
      <c r="N103" s="12" t="n">
        <v>4</v>
      </c>
      <c r="O103" s="12" t="n">
        <v>5</v>
      </c>
      <c r="P103" s="12" t="n">
        <v>7</v>
      </c>
      <c r="Q103" s="12" t="inlineStr">
        <is>
          <t>2026-02-11</t>
        </is>
      </c>
      <c r="R103" s="12" t="inlineStr">
        <is>
          <t>Joblife</t>
        </is>
      </c>
      <c r="S103" s="12" t="inlineStr">
        <is>
          <t>Bind_Brimstone,Fade,Viper,Waylay,Yoru</t>
        </is>
      </c>
    </row>
    <row r="104">
      <c r="A104" s="8" t="inlineStr">
        <is>
          <t>4bb4af55-044d-43f2-bd37-450a1804f983</t>
        </is>
      </c>
      <c r="B104" s="8" t="inlineStr">
        <is>
          <t>Corrode</t>
        </is>
      </c>
      <c r="C104" s="8" t="inlineStr">
        <is>
          <t>Joblife</t>
        </is>
      </c>
      <c r="D104" s="8" t="inlineStr">
        <is>
          <t>MDR</t>
        </is>
      </c>
      <c r="E104" s="8" t="inlineStr">
        <is>
          <t>KAY/O,Omen,Sova,Viper,Waylay</t>
        </is>
      </c>
      <c r="F104" s="8" t="inlineStr">
        <is>
          <t>Brimstone,KAY/O,Omen,Sova,Waylay</t>
        </is>
      </c>
      <c r="G104" s="8" t="n">
        <v>13</v>
      </c>
      <c r="H104" s="8" t="n">
        <v>9</v>
      </c>
      <c r="I104" s="8" t="n">
        <v>4</v>
      </c>
      <c r="J104" s="8" t="n">
        <v>8</v>
      </c>
      <c r="K104" s="8" t="n">
        <v>1</v>
      </c>
      <c r="L104" s="8" t="n">
        <v>1</v>
      </c>
      <c r="M104" s="8" t="n">
        <v>9</v>
      </c>
      <c r="N104" s="8" t="n">
        <v>1</v>
      </c>
      <c r="O104" s="8" t="n">
        <v>4</v>
      </c>
      <c r="P104" s="8" t="n">
        <v>8</v>
      </c>
      <c r="Q104" s="8" t="inlineStr">
        <is>
          <t>2026-02-11</t>
        </is>
      </c>
      <c r="R104" s="8" t="inlineStr">
        <is>
          <t>Joblife</t>
        </is>
      </c>
      <c r="S104" s="8" t="inlineStr">
        <is>
          <t>Corrode_KAY/O,Omen,Sova,Viper,Waylay</t>
        </is>
      </c>
    </row>
    <row r="105">
      <c r="A105" s="12" t="inlineStr">
        <is>
          <t>31cb0eaa-e0e7-46a1-b370-3f91c844ec70</t>
        </is>
      </c>
      <c r="B105" s="12" t="inlineStr">
        <is>
          <t>Abyss</t>
        </is>
      </c>
      <c r="C105" s="12" t="inlineStr">
        <is>
          <t>Joblife</t>
        </is>
      </c>
      <c r="D105" s="12" t="inlineStr">
        <is>
          <t>MDR</t>
        </is>
      </c>
      <c r="E105" s="12" t="inlineStr">
        <is>
          <t>Astra,Sova,Veto,Waylay,Yoru</t>
        </is>
      </c>
      <c r="F105" s="12" t="inlineStr">
        <is>
          <t>Brimstone,KAY/O,Omen,Tejo,Waylay</t>
        </is>
      </c>
      <c r="G105" s="12" t="n">
        <v>4</v>
      </c>
      <c r="H105" s="12" t="n">
        <v>13</v>
      </c>
      <c r="I105" s="12" t="n">
        <v>3</v>
      </c>
      <c r="J105" s="12" t="n">
        <v>9</v>
      </c>
      <c r="K105" s="12" t="n">
        <v>0</v>
      </c>
      <c r="L105" s="12" t="n">
        <v>0</v>
      </c>
      <c r="M105" s="12" t="n">
        <v>1</v>
      </c>
      <c r="N105" s="12" t="n">
        <v>4</v>
      </c>
      <c r="O105" s="12" t="n">
        <v>3</v>
      </c>
      <c r="P105" s="12" t="n">
        <v>9</v>
      </c>
      <c r="Q105" s="12" t="inlineStr">
        <is>
          <t>2026-02-11</t>
        </is>
      </c>
      <c r="R105" s="12" t="inlineStr">
        <is>
          <t>MDR</t>
        </is>
      </c>
      <c r="S105" s="12" t="inlineStr">
        <is>
          <t>Abyss_Astra,Sova,Veto,Waylay,Yoru</t>
        </is>
      </c>
    </row>
    <row r="106">
      <c r="A106" s="8" t="inlineStr">
        <is>
          <t>e579889f-1566-4518-a40a-9bf8873b4874</t>
        </is>
      </c>
      <c r="B106" s="8" t="inlineStr">
        <is>
          <t>Split</t>
        </is>
      </c>
      <c r="C106" s="8" t="inlineStr">
        <is>
          <t>Joblife</t>
        </is>
      </c>
      <c r="D106" s="8" t="inlineStr">
        <is>
          <t>MDR</t>
        </is>
      </c>
      <c r="E106" s="8" t="inlineStr">
        <is>
          <t>Omen,Tejo,Viper,Waylay,Yoru</t>
        </is>
      </c>
      <c r="F106" s="8" t="inlineStr">
        <is>
          <t>Fade,Omen,Viper,Waylay,Yoru</t>
        </is>
      </c>
      <c r="G106" s="8" t="n">
        <v>13</v>
      </c>
      <c r="H106" s="8" t="n">
        <v>8</v>
      </c>
      <c r="I106" s="8" t="n">
        <v>8</v>
      </c>
      <c r="J106" s="8" t="n">
        <v>4</v>
      </c>
      <c r="K106" s="8" t="n">
        <v>1</v>
      </c>
      <c r="L106" s="8" t="n">
        <v>1</v>
      </c>
      <c r="M106" s="8" t="n">
        <v>5</v>
      </c>
      <c r="N106" s="8" t="n">
        <v>4</v>
      </c>
      <c r="O106" s="8" t="n">
        <v>8</v>
      </c>
      <c r="P106" s="8" t="n">
        <v>4</v>
      </c>
      <c r="Q106" s="8" t="inlineStr">
        <is>
          <t>2026-02-08</t>
        </is>
      </c>
      <c r="R106" s="8" t="inlineStr">
        <is>
          <t>Joblife</t>
        </is>
      </c>
      <c r="S106" s="8" t="inlineStr">
        <is>
          <t>Split_Omen,Tejo,Viper,Waylay,Yoru</t>
        </is>
      </c>
    </row>
    <row r="107">
      <c r="A107" s="12" t="inlineStr">
        <is>
          <t>a8dc5324-7603-4c01-bf59-3e6c1fdd65a8</t>
        </is>
      </c>
      <c r="B107" s="12" t="inlineStr">
        <is>
          <t>Haven</t>
        </is>
      </c>
      <c r="C107" s="12" t="inlineStr">
        <is>
          <t>Joblife</t>
        </is>
      </c>
      <c r="D107" s="12" t="inlineStr">
        <is>
          <t>MDR</t>
        </is>
      </c>
      <c r="E107" s="12" t="inlineStr">
        <is>
          <t>Brimstone,Cypher,Sova,Waylay,Yoru</t>
        </is>
      </c>
      <c r="F107" s="12" t="inlineStr">
        <is>
          <t>Killjoy,Neon,Omen,Sova,Viper</t>
        </is>
      </c>
      <c r="G107" s="12" t="n">
        <v>5</v>
      </c>
      <c r="H107" s="12" t="n">
        <v>13</v>
      </c>
      <c r="I107" s="12" t="n">
        <v>5</v>
      </c>
      <c r="J107" s="12" t="n">
        <v>7</v>
      </c>
      <c r="K107" s="12" t="n">
        <v>0</v>
      </c>
      <c r="L107" s="12" t="n">
        <v>0</v>
      </c>
      <c r="M107" s="12" t="n">
        <v>0</v>
      </c>
      <c r="N107" s="12" t="n">
        <v>6</v>
      </c>
      <c r="O107" s="12" t="n">
        <v>5</v>
      </c>
      <c r="P107" s="12" t="n">
        <v>7</v>
      </c>
      <c r="Q107" s="12" t="inlineStr">
        <is>
          <t>2026-02-08</t>
        </is>
      </c>
      <c r="R107" s="12" t="inlineStr">
        <is>
          <t>MDR</t>
        </is>
      </c>
      <c r="S107" s="12" t="inlineStr">
        <is>
          <t>Haven_Brimstone,Cypher,Sova,Waylay,Yoru</t>
        </is>
      </c>
    </row>
    <row r="108">
      <c r="A108" s="8" t="inlineStr">
        <is>
          <t>70c387cc-ef67-4c7a-aaa5-f552c467ec67</t>
        </is>
      </c>
      <c r="B108" s="8" t="inlineStr">
        <is>
          <t>Abyss</t>
        </is>
      </c>
      <c r="C108" s="8" t="inlineStr">
        <is>
          <t>Joblife</t>
        </is>
      </c>
      <c r="D108" s="8" t="inlineStr">
        <is>
          <t>MDR</t>
        </is>
      </c>
      <c r="E108" s="8" t="inlineStr">
        <is>
          <t>Astra,Sova,Veto,Waylay,Yoru</t>
        </is>
      </c>
      <c r="F108" s="8" t="inlineStr">
        <is>
          <t>Brimstone,KAY/O,Omen,Tejo,Waylay</t>
        </is>
      </c>
      <c r="G108" s="8" t="n">
        <v>13</v>
      </c>
      <c r="H108" s="8" t="n">
        <v>9</v>
      </c>
      <c r="I108" s="8" t="n">
        <v>3</v>
      </c>
      <c r="J108" s="8" t="n">
        <v>9</v>
      </c>
      <c r="K108" s="8" t="n">
        <v>1</v>
      </c>
      <c r="L108" s="8" t="n">
        <v>0</v>
      </c>
      <c r="M108" s="8" t="n">
        <v>10</v>
      </c>
      <c r="N108" s="8" t="n">
        <v>0</v>
      </c>
      <c r="O108" s="8" t="n">
        <v>3</v>
      </c>
      <c r="P108" s="8" t="n">
        <v>9</v>
      </c>
      <c r="Q108" s="8" t="inlineStr">
        <is>
          <t>2026-02-08</t>
        </is>
      </c>
      <c r="R108" s="8" t="inlineStr">
        <is>
          <t>Joblife</t>
        </is>
      </c>
      <c r="S108" s="8" t="inlineStr">
        <is>
          <t>Abyss_Astra,Sova,Veto,Waylay,Yoru</t>
        </is>
      </c>
    </row>
    <row r="109">
      <c r="A109" s="12" t="inlineStr">
        <is>
          <t>37d49028-ea38-4514-a9eb-eb3f30fa0e1b</t>
        </is>
      </c>
      <c r="B109" s="12" t="inlineStr">
        <is>
          <t>Haven</t>
        </is>
      </c>
      <c r="C109" s="12" t="inlineStr">
        <is>
          <t>Joblife</t>
        </is>
      </c>
      <c r="D109" s="12" t="inlineStr">
        <is>
          <t>WIP</t>
        </is>
      </c>
      <c r="E109" s="12" t="inlineStr">
        <is>
          <t>Brimstone,Cypher,Sova,Waylay,Yoru</t>
        </is>
      </c>
      <c r="F109" s="12" t="inlineStr">
        <is>
          <t>Cypher,Neon,Omen,Sova,Yoru</t>
        </is>
      </c>
      <c r="G109" s="12" t="n">
        <v>13</v>
      </c>
      <c r="H109" s="12" t="n">
        <v>8</v>
      </c>
      <c r="I109" s="12" t="n">
        <v>7</v>
      </c>
      <c r="J109" s="12" t="n">
        <v>5</v>
      </c>
      <c r="K109" s="12" t="n">
        <v>1</v>
      </c>
      <c r="L109" s="12" t="n">
        <v>0</v>
      </c>
      <c r="M109" s="12" t="n">
        <v>7</v>
      </c>
      <c r="N109" s="12" t="n">
        <v>5</v>
      </c>
      <c r="O109" s="12" t="n">
        <v>6</v>
      </c>
      <c r="P109" s="12" t="n">
        <v>3</v>
      </c>
      <c r="Q109" s="12" t="inlineStr">
        <is>
          <t>2026-02-07</t>
        </is>
      </c>
      <c r="R109" s="12" t="inlineStr">
        <is>
          <t>Joblife</t>
        </is>
      </c>
      <c r="S109" s="12" t="inlineStr">
        <is>
          <t>Haven_Brimstone,Cypher,Sova,Waylay,Yoru</t>
        </is>
      </c>
    </row>
    <row r="110">
      <c r="A110" s="8" t="inlineStr">
        <is>
          <t>0b08ef6c-99a0-4e75-ab4a-a05f5192ab6c</t>
        </is>
      </c>
      <c r="B110" s="8" t="inlineStr">
        <is>
          <t>Corrode</t>
        </is>
      </c>
      <c r="C110" s="8" t="inlineStr">
        <is>
          <t>Joblife</t>
        </is>
      </c>
      <c r="D110" s="8" t="inlineStr">
        <is>
          <t>WIP</t>
        </is>
      </c>
      <c r="E110" s="8" t="inlineStr">
        <is>
          <t>KAY/O,Omen,Sova,Viper,Waylay</t>
        </is>
      </c>
      <c r="F110" s="8" t="inlineStr">
        <is>
          <t>Fade,Omen,Tejo,Viper,Waylay</t>
        </is>
      </c>
      <c r="G110" s="8" t="n">
        <v>13</v>
      </c>
      <c r="H110" s="8" t="n">
        <v>10</v>
      </c>
      <c r="I110" s="8" t="n">
        <v>4</v>
      </c>
      <c r="J110" s="8" t="n">
        <v>8</v>
      </c>
      <c r="K110" s="8" t="n">
        <v>1</v>
      </c>
      <c r="L110" s="8" t="n">
        <v>0</v>
      </c>
      <c r="M110" s="8" t="n">
        <v>4</v>
      </c>
      <c r="N110" s="8" t="n">
        <v>8</v>
      </c>
      <c r="O110" s="8" t="n">
        <v>9</v>
      </c>
      <c r="P110" s="8" t="n">
        <v>2</v>
      </c>
      <c r="Q110" s="8" t="inlineStr">
        <is>
          <t>2026-02-07</t>
        </is>
      </c>
      <c r="R110" s="8" t="inlineStr">
        <is>
          <t>Joblife</t>
        </is>
      </c>
      <c r="S110" s="8" t="inlineStr">
        <is>
          <t>Corrode_KAY/O,Omen,Sova,Viper,Waylay</t>
        </is>
      </c>
    </row>
    <row r="111">
      <c r="A111" s="12" t="inlineStr">
        <is>
          <t>d98aeb74-2d3a-4424-ae07-6512f685d4cd</t>
        </is>
      </c>
      <c r="B111" s="12" t="inlineStr">
        <is>
          <t>Abyss</t>
        </is>
      </c>
      <c r="C111" s="12" t="inlineStr">
        <is>
          <t>Joblife</t>
        </is>
      </c>
      <c r="D111" s="12" t="inlineStr">
        <is>
          <t>ES</t>
        </is>
      </c>
      <c r="E111" s="12" t="inlineStr">
        <is>
          <t>Astra,Sova,Veto,Waylay,Yoru</t>
        </is>
      </c>
      <c r="F111" s="12" t="inlineStr">
        <is>
          <t>Astra,Breach,Tejo,Veto,Waylay</t>
        </is>
      </c>
      <c r="G111" s="12" t="n">
        <v>13</v>
      </c>
      <c r="H111" s="12" t="n">
        <v>3</v>
      </c>
      <c r="I111" s="12" t="n">
        <v>10</v>
      </c>
      <c r="J111" s="12" t="n">
        <v>2</v>
      </c>
      <c r="K111" s="12" t="n">
        <v>1</v>
      </c>
      <c r="L111" s="12" t="n">
        <v>1</v>
      </c>
      <c r="M111" s="12" t="n">
        <v>10</v>
      </c>
      <c r="N111" s="12" t="n">
        <v>2</v>
      </c>
      <c r="O111" s="12" t="n">
        <v>3</v>
      </c>
      <c r="P111" s="12" t="n">
        <v>1</v>
      </c>
      <c r="Q111" s="12" t="inlineStr">
        <is>
          <t>2026-02-01</t>
        </is>
      </c>
      <c r="R111" s="12" t="inlineStr">
        <is>
          <t>Joblife</t>
        </is>
      </c>
      <c r="S111" s="12" t="inlineStr">
        <is>
          <t>Abyss_Astra,Sova,Veto,Waylay,Yoru</t>
        </is>
      </c>
    </row>
    <row r="112">
      <c r="A112" s="8" t="inlineStr">
        <is>
          <t>ae46652f-26b8-4e1f-9feb-f89d36f37af2</t>
        </is>
      </c>
      <c r="B112" s="8" t="inlineStr">
        <is>
          <t>Corrode</t>
        </is>
      </c>
      <c r="C112" s="8" t="inlineStr">
        <is>
          <t>Joblife</t>
        </is>
      </c>
      <c r="D112" s="8" t="inlineStr">
        <is>
          <t>ES</t>
        </is>
      </c>
      <c r="E112" s="8" t="inlineStr">
        <is>
          <t>KAY/O,Omen,Sova,Viper,Waylay</t>
        </is>
      </c>
      <c r="F112" s="8" t="inlineStr">
        <is>
          <t>Fade,Omen,Tejo,Viper,Yoru</t>
        </is>
      </c>
      <c r="G112" s="8" t="n">
        <v>13</v>
      </c>
      <c r="H112" s="8" t="n">
        <v>5</v>
      </c>
      <c r="I112" s="8" t="n">
        <v>8</v>
      </c>
      <c r="J112" s="8" t="n">
        <v>4</v>
      </c>
      <c r="K112" s="8" t="n">
        <v>1</v>
      </c>
      <c r="L112" s="8" t="n">
        <v>1</v>
      </c>
      <c r="M112" s="8" t="n">
        <v>5</v>
      </c>
      <c r="N112" s="8" t="n">
        <v>1</v>
      </c>
      <c r="O112" s="8" t="n">
        <v>8</v>
      </c>
      <c r="P112" s="8" t="n">
        <v>4</v>
      </c>
      <c r="Q112" s="8" t="inlineStr">
        <is>
          <t>2026-02-01</t>
        </is>
      </c>
      <c r="R112" s="8" t="inlineStr">
        <is>
          <t>Joblife</t>
        </is>
      </c>
      <c r="S112" s="8" t="inlineStr">
        <is>
          <t>Corrode_KAY/O,Omen,Sova,Viper,Waylay</t>
        </is>
      </c>
    </row>
    <row r="113">
      <c r="A113" s="12" t="inlineStr">
        <is>
          <t>9da7a49f-1eb2-4161-8b32-e24a56b11d2c</t>
        </is>
      </c>
      <c r="B113" s="12" t="inlineStr">
        <is>
          <t>Breeze</t>
        </is>
      </c>
      <c r="C113" s="12" t="inlineStr">
        <is>
          <t>Joblife</t>
        </is>
      </c>
      <c r="D113" s="12" t="inlineStr">
        <is>
          <t>WIP</t>
        </is>
      </c>
      <c r="E113" s="12" t="inlineStr">
        <is>
          <t>Astra,Cypher,Jett,Sova,Yoru</t>
        </is>
      </c>
      <c r="F113" s="12" t="inlineStr">
        <is>
          <t>Astra,Neon,Sova,Viper,Yoru</t>
        </is>
      </c>
      <c r="G113" s="12" t="n">
        <v>11</v>
      </c>
      <c r="H113" s="12" t="n">
        <v>13</v>
      </c>
      <c r="I113" s="12" t="n">
        <v>5</v>
      </c>
      <c r="J113" s="12" t="n">
        <v>7</v>
      </c>
      <c r="K113" s="12" t="n">
        <v>1</v>
      </c>
      <c r="L113" s="12" t="n">
        <v>1</v>
      </c>
      <c r="M113" s="12" t="n">
        <v>6</v>
      </c>
      <c r="N113" s="12" t="n">
        <v>6</v>
      </c>
      <c r="O113" s="12" t="n">
        <v>5</v>
      </c>
      <c r="P113" s="12" t="n">
        <v>7</v>
      </c>
      <c r="Q113" s="12" t="inlineStr">
        <is>
          <t>2026-01-31</t>
        </is>
      </c>
      <c r="R113" s="12" t="inlineStr">
        <is>
          <t>WIP</t>
        </is>
      </c>
      <c r="S113" s="12" t="inlineStr">
        <is>
          <t>Breeze_Astra,Cypher,Jett,Sova,Yoru</t>
        </is>
      </c>
    </row>
    <row r="114">
      <c r="A114" s="8" t="inlineStr">
        <is>
          <t>8bde71a2-f66e-44d3-9db5-336b853bd530</t>
        </is>
      </c>
      <c r="B114" s="8" t="inlineStr">
        <is>
          <t>Pearl</t>
        </is>
      </c>
      <c r="C114" s="8" t="inlineStr">
        <is>
          <t>Joblife</t>
        </is>
      </c>
      <c r="D114" s="8" t="inlineStr">
        <is>
          <t>WIP</t>
        </is>
      </c>
      <c r="E114" s="8" t="inlineStr">
        <is>
          <t>Astra,Cypher,Neon,Phoenix,Sova</t>
        </is>
      </c>
      <c r="F114" s="8" t="inlineStr">
        <is>
          <t>Astra,Cypher,Sova,Tejo,Waylay</t>
        </is>
      </c>
      <c r="G114" s="8" t="n">
        <v>9</v>
      </c>
      <c r="H114" s="8" t="n">
        <v>13</v>
      </c>
      <c r="I114" s="8" t="n">
        <v>5</v>
      </c>
      <c r="J114" s="8" t="n">
        <v>7</v>
      </c>
      <c r="K114" s="8" t="n">
        <v>1</v>
      </c>
      <c r="L114" s="8" t="n">
        <v>0</v>
      </c>
      <c r="M114" s="8" t="n">
        <v>4</v>
      </c>
      <c r="N114" s="8" t="n">
        <v>6</v>
      </c>
      <c r="O114" s="8" t="n">
        <v>5</v>
      </c>
      <c r="P114" s="8" t="n">
        <v>7</v>
      </c>
      <c r="Q114" s="8" t="inlineStr">
        <is>
          <t>2026-01-31</t>
        </is>
      </c>
      <c r="R114" s="8" t="inlineStr">
        <is>
          <t>WIP</t>
        </is>
      </c>
      <c r="S114" s="8" t="inlineStr">
        <is>
          <t>Pearl_Astra,Cypher,Neon,Phoenix,Sova</t>
        </is>
      </c>
    </row>
    <row r="115">
      <c r="A115" s="12" t="inlineStr">
        <is>
          <t>d1495404-f7ee-4d47-8a18-373dc65fa66c</t>
        </is>
      </c>
      <c r="B115" s="12" t="inlineStr">
        <is>
          <t>Haven</t>
        </is>
      </c>
      <c r="C115" s="12" t="inlineStr">
        <is>
          <t>Joblife</t>
        </is>
      </c>
      <c r="D115" s="12" t="inlineStr">
        <is>
          <t>WIP</t>
        </is>
      </c>
      <c r="E115" s="12" t="inlineStr">
        <is>
          <t>Brimstone,Cypher,Sova,Waylay,Yoru</t>
        </is>
      </c>
      <c r="F115" s="12" t="inlineStr">
        <is>
          <t>Cypher,Neon,Omen,Sova,Yoru</t>
        </is>
      </c>
      <c r="G115" s="12" t="n">
        <v>13</v>
      </c>
      <c r="H115" s="12" t="n">
        <v>5</v>
      </c>
      <c r="I115" s="12" t="n">
        <v>8</v>
      </c>
      <c r="J115" s="12" t="n">
        <v>4</v>
      </c>
      <c r="K115" s="12" t="n">
        <v>1</v>
      </c>
      <c r="L115" s="12" t="n">
        <v>1</v>
      </c>
      <c r="M115" s="12" t="n">
        <v>8</v>
      </c>
      <c r="N115" s="12" t="n">
        <v>4</v>
      </c>
      <c r="O115" s="12" t="n">
        <v>5</v>
      </c>
      <c r="P115" s="12" t="n">
        <v>1</v>
      </c>
      <c r="Q115" s="12" t="inlineStr">
        <is>
          <t>2026-01-31</t>
        </is>
      </c>
      <c r="R115" s="12" t="inlineStr">
        <is>
          <t>Joblife</t>
        </is>
      </c>
      <c r="S115" s="12" t="inlineStr">
        <is>
          <t>Haven_Brimstone,Cypher,Sova,Waylay,Yoru</t>
        </is>
      </c>
    </row>
    <row r="116">
      <c r="A116" s="8" t="inlineStr">
        <is>
          <t>3517b316-e5fe-49db-bbb9-fe4830c84d88</t>
        </is>
      </c>
      <c r="B116" s="8" t="inlineStr">
        <is>
          <t>Abyss</t>
        </is>
      </c>
      <c r="C116" s="8" t="inlineStr">
        <is>
          <t>Joblife</t>
        </is>
      </c>
      <c r="D116" s="8" t="inlineStr">
        <is>
          <t>GL</t>
        </is>
      </c>
      <c r="E116" s="8" t="inlineStr">
        <is>
          <t>Astra,Sova,Veto,Waylay,Yoru</t>
        </is>
      </c>
      <c r="F116" s="8" t="inlineStr">
        <is>
          <t>Astra,Cypher,Sova,Waylay,Yoru</t>
        </is>
      </c>
      <c r="G116" s="8" t="n">
        <v>13</v>
      </c>
      <c r="H116" s="8" t="n">
        <v>11</v>
      </c>
      <c r="I116" s="8" t="n">
        <v>8</v>
      </c>
      <c r="J116" s="8" t="n">
        <v>4</v>
      </c>
      <c r="K116" s="8" t="n">
        <v>0</v>
      </c>
      <c r="L116" s="8" t="n">
        <v>0</v>
      </c>
      <c r="M116" s="8" t="n">
        <v>8</v>
      </c>
      <c r="N116" s="8" t="n">
        <v>4</v>
      </c>
      <c r="O116" s="8" t="n">
        <v>5</v>
      </c>
      <c r="P116" s="8" t="n">
        <v>7</v>
      </c>
      <c r="Q116" s="8" t="inlineStr">
        <is>
          <t>2026-01-24</t>
        </is>
      </c>
      <c r="R116" s="8" t="inlineStr">
        <is>
          <t>Joblife</t>
        </is>
      </c>
      <c r="S116" s="8" t="inlineStr">
        <is>
          <t>Abyss_Astra,Sova,Veto,Waylay,Yoru</t>
        </is>
      </c>
    </row>
    <row r="117">
      <c r="A117" s="12" t="inlineStr">
        <is>
          <t>9ea0d714-1eab-44ef-9641-4d489c4fbb13</t>
        </is>
      </c>
      <c r="B117" s="12" t="inlineStr">
        <is>
          <t>Split</t>
        </is>
      </c>
      <c r="C117" s="12" t="inlineStr">
        <is>
          <t>Joblife</t>
        </is>
      </c>
      <c r="D117" s="12" t="inlineStr">
        <is>
          <t>GL</t>
        </is>
      </c>
      <c r="E117" s="12" t="inlineStr">
        <is>
          <t>Omen,Tejo,Viper,Waylay,Yoru</t>
        </is>
      </c>
      <c r="F117" s="12" t="inlineStr">
        <is>
          <t>Fade,Omen,Raze,Viper,Yoru</t>
        </is>
      </c>
      <c r="G117" s="12" t="n">
        <v>13</v>
      </c>
      <c r="H117" s="12" t="n">
        <v>9</v>
      </c>
      <c r="I117" s="12" t="n">
        <v>7</v>
      </c>
      <c r="J117" s="12" t="n">
        <v>5</v>
      </c>
      <c r="K117" s="12" t="n">
        <v>0</v>
      </c>
      <c r="L117" s="12" t="n">
        <v>0</v>
      </c>
      <c r="M117" s="12" t="n">
        <v>6</v>
      </c>
      <c r="N117" s="12" t="n">
        <v>4</v>
      </c>
      <c r="O117" s="12" t="n">
        <v>7</v>
      </c>
      <c r="P117" s="12" t="n">
        <v>5</v>
      </c>
      <c r="Q117" s="12" t="inlineStr">
        <is>
          <t>2026-01-24</t>
        </is>
      </c>
      <c r="R117" s="12" t="inlineStr">
        <is>
          <t>Joblife</t>
        </is>
      </c>
      <c r="S117" s="12" t="inlineStr">
        <is>
          <t>Split_Omen,Tejo,Viper,Waylay,Yoru</t>
        </is>
      </c>
    </row>
    <row r="118">
      <c r="A118" s="8" t="inlineStr">
        <is>
          <t>11adb157-97df-4003-884a-2fbf409809e0</t>
        </is>
      </c>
      <c r="B118" s="8" t="inlineStr">
        <is>
          <t>Corrode</t>
        </is>
      </c>
      <c r="C118" s="8" t="inlineStr">
        <is>
          <t>Joblife</t>
        </is>
      </c>
      <c r="D118" s="8" t="inlineStr">
        <is>
          <t>GL</t>
        </is>
      </c>
      <c r="E118" s="8" t="inlineStr">
        <is>
          <t>KAY/O,Omen,Sova,Viper,Waylay</t>
        </is>
      </c>
      <c r="F118" s="8" t="inlineStr">
        <is>
          <t>Fade,Omen,Viper,Waylay,Yoru</t>
        </is>
      </c>
      <c r="G118" s="8" t="n">
        <v>11</v>
      </c>
      <c r="H118" s="8" t="n">
        <v>13</v>
      </c>
      <c r="I118" s="8" t="n">
        <v>5</v>
      </c>
      <c r="J118" s="8" t="n">
        <v>7</v>
      </c>
      <c r="K118" s="8" t="n">
        <v>1</v>
      </c>
      <c r="L118" s="8" t="n">
        <v>0</v>
      </c>
      <c r="M118" s="8" t="n">
        <v>5</v>
      </c>
      <c r="N118" s="8" t="n">
        <v>7</v>
      </c>
      <c r="O118" s="8" t="n">
        <v>6</v>
      </c>
      <c r="P118" s="8" t="n">
        <v>6</v>
      </c>
      <c r="Q118" s="8" t="inlineStr">
        <is>
          <t>2026-01-24</t>
        </is>
      </c>
      <c r="R118" s="8" t="inlineStr">
        <is>
          <t>GL</t>
        </is>
      </c>
      <c r="S118" s="8" t="inlineStr">
        <is>
          <t>Corrode_KAY/O,Omen,Sova,Viper,Waylay</t>
        </is>
      </c>
    </row>
    <row r="119">
      <c r="A119" s="12" t="inlineStr">
        <is>
          <t>10c0c2a8-9258-4109-9adc-2846f03bffc5</t>
        </is>
      </c>
      <c r="B119" s="12" t="inlineStr">
        <is>
          <t>Abyss</t>
        </is>
      </c>
      <c r="C119" s="12" t="inlineStr">
        <is>
          <t>Joblife</t>
        </is>
      </c>
      <c r="D119" s="12" t="inlineStr">
        <is>
          <t>ERAH</t>
        </is>
      </c>
      <c r="E119" s="12" t="inlineStr">
        <is>
          <t>Astra,Sova,Veto,Waylay,Yoru</t>
        </is>
      </c>
      <c r="F119" s="12" t="inlineStr">
        <is>
          <t>Astra,Reyna,Sova,Waylay,Yoru</t>
        </is>
      </c>
      <c r="G119" s="12" t="n">
        <v>13</v>
      </c>
      <c r="H119" s="12" t="n">
        <v>1</v>
      </c>
      <c r="I119" s="12" t="n">
        <v>11</v>
      </c>
      <c r="J119" s="12" t="n">
        <v>1</v>
      </c>
      <c r="K119" s="12" t="n">
        <v>1</v>
      </c>
      <c r="L119" s="12" t="n">
        <v>1</v>
      </c>
      <c r="M119" s="12" t="n">
        <v>11</v>
      </c>
      <c r="N119" s="12" t="n">
        <v>1</v>
      </c>
      <c r="O119" s="12" t="n">
        <v>2</v>
      </c>
      <c r="P119" s="12" t="n">
        <v>0</v>
      </c>
      <c r="Q119" s="12" t="inlineStr">
        <is>
          <t>2026-01-17</t>
        </is>
      </c>
      <c r="R119" s="12" t="inlineStr">
        <is>
          <t>Joblife</t>
        </is>
      </c>
      <c r="S119" s="12" t="inlineStr">
        <is>
          <t>Abyss_Astra,Sova,Veto,Waylay,Yoru</t>
        </is>
      </c>
    </row>
    <row r="120">
      <c r="A120" s="8" t="inlineStr">
        <is>
          <t>d0917b39-c7c5-40d9-acce-9a4df03900fa</t>
        </is>
      </c>
      <c r="B120" s="8" t="inlineStr">
        <is>
          <t>Pearl</t>
        </is>
      </c>
      <c r="C120" s="8" t="inlineStr">
        <is>
          <t>Joblife</t>
        </is>
      </c>
      <c r="D120" s="8" t="inlineStr">
        <is>
          <t>ERAH</t>
        </is>
      </c>
      <c r="E120" s="8" t="inlineStr">
        <is>
          <t>Astra,Cypher,Neon,Phoenix,Sova</t>
        </is>
      </c>
      <c r="F120" s="8" t="inlineStr">
        <is>
          <t>Astra,Breach,Killjoy,Neon,Tejo</t>
        </is>
      </c>
      <c r="G120" s="8" t="n">
        <v>13</v>
      </c>
      <c r="H120" s="8" t="n">
        <v>8</v>
      </c>
      <c r="I120" s="8" t="n">
        <v>9</v>
      </c>
      <c r="J120" s="8" t="n">
        <v>3</v>
      </c>
      <c r="K120" s="8" t="n">
        <v>1</v>
      </c>
      <c r="L120" s="8" t="n">
        <v>1</v>
      </c>
      <c r="M120" s="8" t="n">
        <v>9</v>
      </c>
      <c r="N120" s="8" t="n">
        <v>3</v>
      </c>
      <c r="O120" s="8" t="n">
        <v>4</v>
      </c>
      <c r="P120" s="8" t="n">
        <v>5</v>
      </c>
      <c r="Q120" s="8" t="inlineStr">
        <is>
          <t>2026-01-17</t>
        </is>
      </c>
      <c r="R120" s="8" t="inlineStr">
        <is>
          <t>Joblife</t>
        </is>
      </c>
      <c r="S120" s="8" t="inlineStr">
        <is>
          <t>Pearl_Astra,Cypher,Neon,Phoenix,Sova</t>
        </is>
      </c>
    </row>
    <row r="121">
      <c r="A121" s="12" t="inlineStr">
        <is>
          <t>e9d66709-95b4-4ebc-a957-2fdc599c3191</t>
        </is>
      </c>
      <c r="B121" s="12" t="inlineStr">
        <is>
          <t>Corrode</t>
        </is>
      </c>
      <c r="C121" s="12" t="inlineStr">
        <is>
          <t>Joblife</t>
        </is>
      </c>
      <c r="D121" s="12" t="inlineStr">
        <is>
          <t>MDR</t>
        </is>
      </c>
      <c r="E121" s="12" t="inlineStr">
        <is>
          <t>KAY/O,Omen,Sova,Viper,Waylay</t>
        </is>
      </c>
      <c r="F121" s="12" t="inlineStr">
        <is>
          <t>Brimstone,KAY/O,Omen,Sova,Waylay</t>
        </is>
      </c>
      <c r="G121" s="12" t="n">
        <v>13</v>
      </c>
      <c r="H121" s="12" t="n">
        <v>6</v>
      </c>
      <c r="I121" s="12" t="n">
        <v>9</v>
      </c>
      <c r="J121" s="12" t="n">
        <v>3</v>
      </c>
      <c r="K121" s="12" t="n">
        <v>1</v>
      </c>
      <c r="L121" s="12" t="n">
        <v>0</v>
      </c>
      <c r="M121" s="12" t="n">
        <v>9</v>
      </c>
      <c r="N121" s="12" t="n">
        <v>3</v>
      </c>
      <c r="O121" s="12" t="n">
        <v>4</v>
      </c>
      <c r="P121" s="12" t="n">
        <v>3</v>
      </c>
      <c r="Q121" s="12" t="inlineStr">
        <is>
          <t>2026-01-16</t>
        </is>
      </c>
      <c r="R121" s="12" t="inlineStr">
        <is>
          <t>Joblife</t>
        </is>
      </c>
      <c r="S121" s="12" t="inlineStr">
        <is>
          <t>Corrode_KAY/O,Omen,Sova,Viper,Waylay</t>
        </is>
      </c>
    </row>
    <row r="122">
      <c r="A122" s="8" t="inlineStr">
        <is>
          <t>e42d69cf-f9db-40f1-9cce-311813eef2c3</t>
        </is>
      </c>
      <c r="B122" s="8" t="inlineStr">
        <is>
          <t>Pearl</t>
        </is>
      </c>
      <c r="C122" s="8" t="inlineStr">
        <is>
          <t>Joblife</t>
        </is>
      </c>
      <c r="D122" s="8" t="inlineStr">
        <is>
          <t>MDR</t>
        </is>
      </c>
      <c r="E122" s="8" t="inlineStr">
        <is>
          <t>Astra,Cypher,Neon,Phoenix,Sova</t>
        </is>
      </c>
      <c r="F122" s="8" t="inlineStr">
        <is>
          <t>Astra,Fade,Killjoy,Tejo,Waylay</t>
        </is>
      </c>
      <c r="G122" s="8" t="n">
        <v>13</v>
      </c>
      <c r="H122" s="8" t="n">
        <v>8</v>
      </c>
      <c r="I122" s="8" t="n">
        <v>6</v>
      </c>
      <c r="J122" s="8" t="n">
        <v>6</v>
      </c>
      <c r="K122" s="8" t="n">
        <v>1</v>
      </c>
      <c r="L122" s="8" t="n">
        <v>0</v>
      </c>
      <c r="M122" s="8" t="n">
        <v>7</v>
      </c>
      <c r="N122" s="8" t="n">
        <v>2</v>
      </c>
      <c r="O122" s="8" t="n">
        <v>6</v>
      </c>
      <c r="P122" s="8" t="n">
        <v>6</v>
      </c>
      <c r="Q122" s="8" t="inlineStr">
        <is>
          <t>2026-01-16</t>
        </is>
      </c>
      <c r="R122" s="8" t="inlineStr">
        <is>
          <t>Joblife</t>
        </is>
      </c>
      <c r="S122" s="8" t="inlineStr">
        <is>
          <t>Pearl_Astra,Cypher,Neon,Phoenix,Sova</t>
        </is>
      </c>
    </row>
    <row r="123">
      <c r="A123" s="12" t="inlineStr">
        <is>
          <t>f2c3a037-e420-4328-82ea-b8488f9291da</t>
        </is>
      </c>
      <c r="B123" s="12" t="inlineStr">
        <is>
          <t>Abyss</t>
        </is>
      </c>
      <c r="C123" s="12" t="inlineStr">
        <is>
          <t>Joblife</t>
        </is>
      </c>
      <c r="D123" s="12" t="inlineStr">
        <is>
          <t>CLA</t>
        </is>
      </c>
      <c r="E123" s="12" t="inlineStr">
        <is>
          <t>Astra,Sova,Veto,Waylay,Yoru</t>
        </is>
      </c>
      <c r="F123" s="12" t="inlineStr">
        <is>
          <t>Astra,Sova,Veto,Waylay,Yoru</t>
        </is>
      </c>
      <c r="G123" s="12" t="n">
        <v>13</v>
      </c>
      <c r="H123" s="12" t="n">
        <v>5</v>
      </c>
      <c r="I123" s="12" t="n">
        <v>11</v>
      </c>
      <c r="J123" s="12" t="n">
        <v>1</v>
      </c>
      <c r="K123" s="12" t="n">
        <v>0</v>
      </c>
      <c r="L123" s="12" t="n">
        <v>1</v>
      </c>
      <c r="M123" s="12" t="n">
        <v>2</v>
      </c>
      <c r="N123" s="12" t="n">
        <v>4</v>
      </c>
      <c r="O123" s="12" t="n">
        <v>11</v>
      </c>
      <c r="P123" s="12" t="n">
        <v>1</v>
      </c>
      <c r="Q123" s="12" t="inlineStr">
        <is>
          <t>2026-01-11</t>
        </is>
      </c>
      <c r="R123" s="12" t="inlineStr">
        <is>
          <t>Joblife</t>
        </is>
      </c>
      <c r="S123" s="12" t="inlineStr">
        <is>
          <t>Abyss_Astra,Sova,Veto,Waylay,Yoru</t>
        </is>
      </c>
    </row>
    <row r="124">
      <c r="A124" s="8" t="inlineStr">
        <is>
          <t>40d1d26f-bdf3-41fc-82bf-ab0e37453f9d</t>
        </is>
      </c>
      <c r="B124" s="8" t="inlineStr">
        <is>
          <t>Haven</t>
        </is>
      </c>
      <c r="C124" s="8" t="inlineStr">
        <is>
          <t>Joblife</t>
        </is>
      </c>
      <c r="D124" s="8" t="inlineStr">
        <is>
          <t>CLA</t>
        </is>
      </c>
      <c r="E124" s="8" t="inlineStr">
        <is>
          <t>Brimstone,Cypher,Sova,Waylay,Yoru</t>
        </is>
      </c>
      <c r="F124" s="8" t="inlineStr">
        <is>
          <t>Cypher,Omen,Sova,Waylay,Yoru</t>
        </is>
      </c>
      <c r="G124" s="8" t="n">
        <v>13</v>
      </c>
      <c r="H124" s="8" t="n">
        <v>9</v>
      </c>
      <c r="I124" s="8" t="n">
        <v>4</v>
      </c>
      <c r="J124" s="8" t="n">
        <v>8</v>
      </c>
      <c r="K124" s="8" t="n">
        <v>1</v>
      </c>
      <c r="L124" s="8" t="n">
        <v>0</v>
      </c>
      <c r="M124" s="8" t="n">
        <v>9</v>
      </c>
      <c r="N124" s="8" t="n">
        <v>1</v>
      </c>
      <c r="O124" s="8" t="n">
        <v>4</v>
      </c>
      <c r="P124" s="8" t="n">
        <v>8</v>
      </c>
      <c r="Q124" s="8" t="inlineStr">
        <is>
          <t>2026-01-11</t>
        </is>
      </c>
      <c r="R124" s="8" t="inlineStr">
        <is>
          <t>Joblife</t>
        </is>
      </c>
      <c r="S124" s="8" t="inlineStr">
        <is>
          <t>Haven_Brimstone,Cypher,Sova,Waylay,Yoru</t>
        </is>
      </c>
    </row>
    <row r="125">
      <c r="A125" s="12" t="inlineStr">
        <is>
          <t>f86ccf1a-a620-4512-b659-9ab9af1d229e</t>
        </is>
      </c>
      <c r="B125" s="12" t="inlineStr">
        <is>
          <t>Split</t>
        </is>
      </c>
      <c r="C125" s="12" t="inlineStr">
        <is>
          <t>Joblife</t>
        </is>
      </c>
      <c r="D125" s="12" t="inlineStr">
        <is>
          <t>F9</t>
        </is>
      </c>
      <c r="E125" s="12" t="inlineStr">
        <is>
          <t>Omen,Raze,Skye,Viper,Waylay</t>
        </is>
      </c>
      <c r="F125" s="12" t="inlineStr">
        <is>
          <t>Chamber,Omen,Raze,Skye,Viper</t>
        </is>
      </c>
      <c r="G125" s="12" t="n">
        <v>13</v>
      </c>
      <c r="H125" s="12" t="n">
        <v>3</v>
      </c>
      <c r="I125" s="12" t="n">
        <v>10</v>
      </c>
      <c r="J125" s="12" t="n">
        <v>2</v>
      </c>
      <c r="K125" s="12" t="n">
        <v>1</v>
      </c>
      <c r="L125" s="12" t="n">
        <v>1</v>
      </c>
      <c r="M125" s="12" t="n">
        <v>3</v>
      </c>
      <c r="N125" s="12" t="n">
        <v>1</v>
      </c>
      <c r="O125" s="12" t="n">
        <v>10</v>
      </c>
      <c r="P125" s="12" t="n">
        <v>2</v>
      </c>
      <c r="Q125" s="12" t="inlineStr">
        <is>
          <t>2026-01-10</t>
        </is>
      </c>
      <c r="R125" s="12" t="inlineStr">
        <is>
          <t>Joblife</t>
        </is>
      </c>
      <c r="S125" s="12" t="inlineStr">
        <is>
          <t>Split_Omen,Raze,Skye,Viper,Waylay</t>
        </is>
      </c>
    </row>
    <row r="126">
      <c r="A126" s="8" t="inlineStr">
        <is>
          <t>a78df009-2798-472f-9dde-7b21f4a413b6</t>
        </is>
      </c>
      <c r="B126" s="8" t="inlineStr">
        <is>
          <t>Haven</t>
        </is>
      </c>
      <c r="C126" s="8" t="inlineStr">
        <is>
          <t>Joblife</t>
        </is>
      </c>
      <c r="D126" s="8" t="inlineStr">
        <is>
          <t>F9</t>
        </is>
      </c>
      <c r="E126" s="8" t="inlineStr">
        <is>
          <t>Brimstone,Cypher,Sova,Waylay,Yoru</t>
        </is>
      </c>
      <c r="F126" s="8" t="inlineStr">
        <is>
          <t>Breach,Killjoy,Neon,Omen,Sova</t>
        </is>
      </c>
      <c r="G126" s="8" t="n">
        <v>13</v>
      </c>
      <c r="H126" s="8" t="n">
        <v>5</v>
      </c>
      <c r="I126" s="8" t="n">
        <v>8</v>
      </c>
      <c r="J126" s="8" t="n">
        <v>4</v>
      </c>
      <c r="K126" s="8" t="n">
        <v>0</v>
      </c>
      <c r="L126" s="8" t="n">
        <v>1</v>
      </c>
      <c r="M126" s="8" t="n">
        <v>8</v>
      </c>
      <c r="N126" s="8" t="n">
        <v>4</v>
      </c>
      <c r="O126" s="8" t="n">
        <v>5</v>
      </c>
      <c r="P126" s="8" t="n">
        <v>1</v>
      </c>
      <c r="Q126" s="8" t="inlineStr">
        <is>
          <t>2026-01-10</t>
        </is>
      </c>
      <c r="R126" s="8" t="inlineStr">
        <is>
          <t>Joblife</t>
        </is>
      </c>
      <c r="S126" s="8" t="inlineStr">
        <is>
          <t>Haven_Brimstone,Cypher,Sova,Waylay,Yoru</t>
        </is>
      </c>
    </row>
    <row r="127">
      <c r="A127" s="12" t="inlineStr">
        <is>
          <t>ef04b9ad-1fdd-42e7-83ed-076cce73866c</t>
        </is>
      </c>
      <c r="B127" s="12" t="inlineStr">
        <is>
          <t>Split</t>
        </is>
      </c>
      <c r="C127" s="12" t="inlineStr">
        <is>
          <t>Mandatory</t>
        </is>
      </c>
      <c r="D127" s="12" t="inlineStr">
        <is>
          <t>JL</t>
        </is>
      </c>
      <c r="E127" s="12" t="inlineStr">
        <is>
          <t>Fade,Omen,Viper,Waylay,Yoru</t>
        </is>
      </c>
      <c r="F127" s="12" t="inlineStr">
        <is>
          <t>Omen,Tejo,Viper,Waylay,Yoru</t>
        </is>
      </c>
      <c r="G127" s="12" t="n">
        <v>9</v>
      </c>
      <c r="H127" s="12" t="n">
        <v>13</v>
      </c>
      <c r="I127" s="12" t="n">
        <v>5</v>
      </c>
      <c r="J127" s="12" t="n">
        <v>7</v>
      </c>
      <c r="K127" s="12" t="n">
        <v>1</v>
      </c>
      <c r="L127" s="12" t="n">
        <v>0</v>
      </c>
      <c r="M127" s="12" t="n">
        <v>4</v>
      </c>
      <c r="N127" s="12" t="n">
        <v>6</v>
      </c>
      <c r="O127" s="12" t="n">
        <v>5</v>
      </c>
      <c r="P127" s="12" t="n">
        <v>7</v>
      </c>
      <c r="Q127" s="12" t="inlineStr">
        <is>
          <t>2026-02-11</t>
        </is>
      </c>
      <c r="R127" s="12" t="inlineStr">
        <is>
          <t>JL</t>
        </is>
      </c>
      <c r="S127" s="12" t="inlineStr">
        <is>
          <t>Split_Fade,Omen,Viper,Waylay,Yoru</t>
        </is>
      </c>
    </row>
    <row r="128">
      <c r="A128" s="8" t="inlineStr">
        <is>
          <t>f1c960b4-38df-4691-bcee-979eeee87932</t>
        </is>
      </c>
      <c r="B128" s="8" t="inlineStr">
        <is>
          <t>Pearl</t>
        </is>
      </c>
      <c r="C128" s="8" t="inlineStr">
        <is>
          <t>Mandatory</t>
        </is>
      </c>
      <c r="D128" s="8" t="inlineStr">
        <is>
          <t>JL</t>
        </is>
      </c>
      <c r="E128" s="8" t="inlineStr">
        <is>
          <t>Astra,Cypher,Sova,Tejo,Waylay</t>
        </is>
      </c>
      <c r="F128" s="8" t="inlineStr">
        <is>
          <t>Astra,Neon,Sova,Veto,Yoru</t>
        </is>
      </c>
      <c r="G128" s="8" t="n">
        <v>13</v>
      </c>
      <c r="H128" s="8" t="n">
        <v>5</v>
      </c>
      <c r="I128" s="8" t="n">
        <v>9</v>
      </c>
      <c r="J128" s="8" t="n">
        <v>3</v>
      </c>
      <c r="K128" s="8" t="n">
        <v>0</v>
      </c>
      <c r="L128" s="8" t="n">
        <v>1</v>
      </c>
      <c r="M128" s="8" t="n">
        <v>9</v>
      </c>
      <c r="N128" s="8" t="n">
        <v>3</v>
      </c>
      <c r="O128" s="8" t="n">
        <v>4</v>
      </c>
      <c r="P128" s="8" t="n">
        <v>2</v>
      </c>
      <c r="Q128" s="8" t="inlineStr">
        <is>
          <t>2026-02-11</t>
        </is>
      </c>
      <c r="R128" s="8" t="inlineStr">
        <is>
          <t>Mandatory</t>
        </is>
      </c>
      <c r="S128" s="8" t="inlineStr">
        <is>
          <t>Pearl_Astra,Cypher,Sova,Tejo,Waylay</t>
        </is>
      </c>
    </row>
    <row r="129">
      <c r="A129" s="12" t="inlineStr">
        <is>
          <t>740033c5-9cf8-41cd-984d-2307be64668b</t>
        </is>
      </c>
      <c r="B129" s="12" t="inlineStr">
        <is>
          <t>Bind</t>
        </is>
      </c>
      <c r="C129" s="12" t="inlineStr">
        <is>
          <t>Mandatory</t>
        </is>
      </c>
      <c r="D129" s="12" t="inlineStr">
        <is>
          <t>JL</t>
        </is>
      </c>
      <c r="E129" s="12" t="inlineStr">
        <is>
          <t>Brimstone,Raze,Sage,Skye,Viper</t>
        </is>
      </c>
      <c r="F129" s="12" t="inlineStr">
        <is>
          <t>Brimstone,Fade,Viper,Waylay,Yoru</t>
        </is>
      </c>
      <c r="G129" s="12" t="n">
        <v>11</v>
      </c>
      <c r="H129" s="12" t="n">
        <v>13</v>
      </c>
      <c r="I129" s="12" t="n">
        <v>4</v>
      </c>
      <c r="J129" s="12" t="n">
        <v>8</v>
      </c>
      <c r="K129" s="12" t="n">
        <v>0</v>
      </c>
      <c r="L129" s="12" t="n">
        <v>0</v>
      </c>
      <c r="M129" s="12" t="n">
        <v>7</v>
      </c>
      <c r="N129" s="12" t="n">
        <v>5</v>
      </c>
      <c r="O129" s="12" t="n">
        <v>4</v>
      </c>
      <c r="P129" s="12" t="n">
        <v>8</v>
      </c>
      <c r="Q129" s="12" t="inlineStr">
        <is>
          <t>2026-02-11</t>
        </is>
      </c>
      <c r="R129" s="12" t="inlineStr">
        <is>
          <t>JL</t>
        </is>
      </c>
      <c r="S129" s="12" t="inlineStr">
        <is>
          <t>Bind_Brimstone,Raze,Sage,Skye,Viper</t>
        </is>
      </c>
    </row>
    <row r="130">
      <c r="A130" s="8" t="inlineStr">
        <is>
          <t>4bb4af55-044d-43f2-bd37-450a1804f983</t>
        </is>
      </c>
      <c r="B130" s="8" t="inlineStr">
        <is>
          <t>Corrode</t>
        </is>
      </c>
      <c r="C130" s="8" t="inlineStr">
        <is>
          <t>Mandatory</t>
        </is>
      </c>
      <c r="D130" s="8" t="inlineStr">
        <is>
          <t>JL</t>
        </is>
      </c>
      <c r="E130" s="8" t="inlineStr">
        <is>
          <t>Brimstone,KAY/O,Omen,Sova,Waylay</t>
        </is>
      </c>
      <c r="F130" s="8" t="inlineStr">
        <is>
          <t>KAY/O,Omen,Sova,Viper,Waylay</t>
        </is>
      </c>
      <c r="G130" s="8" t="n">
        <v>9</v>
      </c>
      <c r="H130" s="8" t="n">
        <v>13</v>
      </c>
      <c r="I130" s="8" t="n">
        <v>8</v>
      </c>
      <c r="J130" s="8" t="n">
        <v>4</v>
      </c>
      <c r="K130" s="8" t="n">
        <v>0</v>
      </c>
      <c r="L130" s="8" t="n">
        <v>0</v>
      </c>
      <c r="M130" s="8" t="n">
        <v>8</v>
      </c>
      <c r="N130" s="8" t="n">
        <v>4</v>
      </c>
      <c r="O130" s="8" t="n">
        <v>1</v>
      </c>
      <c r="P130" s="8" t="n">
        <v>9</v>
      </c>
      <c r="Q130" s="8" t="inlineStr">
        <is>
          <t>2026-02-11</t>
        </is>
      </c>
      <c r="R130" s="8" t="inlineStr">
        <is>
          <t>JL</t>
        </is>
      </c>
      <c r="S130" s="8" t="inlineStr">
        <is>
          <t>Corrode_Brimstone,KAY/O,Omen,Sova,Waylay</t>
        </is>
      </c>
    </row>
    <row r="131">
      <c r="A131" s="12" t="inlineStr">
        <is>
          <t>31cb0eaa-e0e7-46a1-b370-3f91c844ec70</t>
        </is>
      </c>
      <c r="B131" s="12" t="inlineStr">
        <is>
          <t>Abyss</t>
        </is>
      </c>
      <c r="C131" s="12" t="inlineStr">
        <is>
          <t>Mandatory</t>
        </is>
      </c>
      <c r="D131" s="12" t="inlineStr">
        <is>
          <t>JL</t>
        </is>
      </c>
      <c r="E131" s="12" t="inlineStr">
        <is>
          <t>Brimstone,KAY/O,Omen,Tejo,Waylay</t>
        </is>
      </c>
      <c r="F131" s="12" t="inlineStr">
        <is>
          <t>Astra,Sova,Veto,Waylay,Yoru</t>
        </is>
      </c>
      <c r="G131" s="12" t="n">
        <v>13</v>
      </c>
      <c r="H131" s="12" t="n">
        <v>4</v>
      </c>
      <c r="I131" s="12" t="n">
        <v>9</v>
      </c>
      <c r="J131" s="12" t="n">
        <v>3</v>
      </c>
      <c r="K131" s="12" t="n">
        <v>1</v>
      </c>
      <c r="L131" s="12" t="n">
        <v>1</v>
      </c>
      <c r="M131" s="12" t="n">
        <v>9</v>
      </c>
      <c r="N131" s="12" t="n">
        <v>3</v>
      </c>
      <c r="O131" s="12" t="n">
        <v>4</v>
      </c>
      <c r="P131" s="12" t="n">
        <v>1</v>
      </c>
      <c r="Q131" s="12" t="inlineStr">
        <is>
          <t>2026-02-11</t>
        </is>
      </c>
      <c r="R131" s="12" t="inlineStr">
        <is>
          <t>Mandatory</t>
        </is>
      </c>
      <c r="S131" s="12" t="inlineStr">
        <is>
          <t>Abyss_Brimstone,KAY/O,Omen,Tejo,Waylay</t>
        </is>
      </c>
    </row>
    <row r="132">
      <c r="A132" s="8" t="inlineStr">
        <is>
          <t>e6d3b7c9-fd4f-4a4b-9a21-61cb4921736a</t>
        </is>
      </c>
      <c r="B132" s="8" t="inlineStr">
        <is>
          <t>Corrode</t>
        </is>
      </c>
      <c r="C132" s="8" t="inlineStr">
        <is>
          <t>Mandatory</t>
        </is>
      </c>
      <c r="D132" s="8" t="inlineStr">
        <is>
          <t>WIP</t>
        </is>
      </c>
      <c r="E132" s="8" t="inlineStr">
        <is>
          <t>Brimstone,KAY/O,Omen,Sova,Waylay</t>
        </is>
      </c>
      <c r="F132" s="8" t="inlineStr">
        <is>
          <t>Fade,Omen,Tejo,Viper,Waylay</t>
        </is>
      </c>
      <c r="G132" s="8" t="n">
        <v>13</v>
      </c>
      <c r="H132" s="8" t="n">
        <v>4</v>
      </c>
      <c r="I132" s="8" t="n">
        <v>10</v>
      </c>
      <c r="J132" s="8" t="n">
        <v>2</v>
      </c>
      <c r="K132" s="8" t="n">
        <v>0</v>
      </c>
      <c r="L132" s="8" t="n">
        <v>0</v>
      </c>
      <c r="M132" s="8" t="n">
        <v>10</v>
      </c>
      <c r="N132" s="8" t="n">
        <v>2</v>
      </c>
      <c r="O132" s="8" t="n">
        <v>3</v>
      </c>
      <c r="P132" s="8" t="n">
        <v>2</v>
      </c>
      <c r="Q132" s="8" t="inlineStr">
        <is>
          <t>2026-02-09</t>
        </is>
      </c>
      <c r="R132" s="8" t="inlineStr">
        <is>
          <t>Mandatory</t>
        </is>
      </c>
      <c r="S132" s="8" t="inlineStr">
        <is>
          <t>Corrode_Brimstone,KAY/O,Omen,Sova,Waylay</t>
        </is>
      </c>
    </row>
    <row r="133">
      <c r="A133" s="12" t="inlineStr">
        <is>
          <t>606148a9-49ce-4552-bda0-2385455f4d59</t>
        </is>
      </c>
      <c r="B133" s="12" t="inlineStr">
        <is>
          <t>Breeze</t>
        </is>
      </c>
      <c r="C133" s="12" t="inlineStr">
        <is>
          <t>Mandatory</t>
        </is>
      </c>
      <c r="D133" s="12" t="inlineStr">
        <is>
          <t>WIP</t>
        </is>
      </c>
      <c r="E133" s="12" t="inlineStr">
        <is>
          <t>Jett,Omen,Sova,Viper,Yoru</t>
        </is>
      </c>
      <c r="F133" s="12" t="inlineStr">
        <is>
          <t>Astra,Neon,Sova,Viper,Yoru</t>
        </is>
      </c>
      <c r="G133" s="12" t="n">
        <v>13</v>
      </c>
      <c r="H133" s="12" t="n">
        <v>3</v>
      </c>
      <c r="I133" s="12" t="n">
        <v>9</v>
      </c>
      <c r="J133" s="12" t="n">
        <v>3</v>
      </c>
      <c r="K133" s="12" t="n">
        <v>1</v>
      </c>
      <c r="L133" s="12" t="n">
        <v>1</v>
      </c>
      <c r="M133" s="12" t="n">
        <v>9</v>
      </c>
      <c r="N133" s="12" t="n">
        <v>3</v>
      </c>
      <c r="O133" s="12" t="n">
        <v>4</v>
      </c>
      <c r="P133" s="12" t="n">
        <v>0</v>
      </c>
      <c r="Q133" s="12" t="inlineStr">
        <is>
          <t>2026-02-09</t>
        </is>
      </c>
      <c r="R133" s="12" t="inlineStr">
        <is>
          <t>Mandatory</t>
        </is>
      </c>
      <c r="S133" s="12" t="inlineStr">
        <is>
          <t>Breeze_Jett,Omen,Sova,Viper,Yoru</t>
        </is>
      </c>
    </row>
    <row r="134">
      <c r="A134" s="8" t="inlineStr">
        <is>
          <t>b421416f-9404-4d5c-833b-01f213518665</t>
        </is>
      </c>
      <c r="B134" s="8" t="inlineStr">
        <is>
          <t>Pearl</t>
        </is>
      </c>
      <c r="C134" s="8" t="inlineStr">
        <is>
          <t>Mandatory</t>
        </is>
      </c>
      <c r="D134" s="8" t="inlineStr">
        <is>
          <t>WIP</t>
        </is>
      </c>
      <c r="E134" s="8" t="inlineStr">
        <is>
          <t>Astra,Fade,Phoenix,Veto,Yoru</t>
        </is>
      </c>
      <c r="F134" s="8" t="inlineStr">
        <is>
          <t>Astra,Cypher,Sova,Tejo,Waylay</t>
        </is>
      </c>
      <c r="G134" s="8" t="n">
        <v>6</v>
      </c>
      <c r="H134" s="8" t="n">
        <v>13</v>
      </c>
      <c r="I134" s="8" t="n">
        <v>3</v>
      </c>
      <c r="J134" s="8" t="n">
        <v>9</v>
      </c>
      <c r="K134" s="8" t="n">
        <v>0</v>
      </c>
      <c r="L134" s="8" t="n">
        <v>1</v>
      </c>
      <c r="M134" s="8" t="n">
        <v>3</v>
      </c>
      <c r="N134" s="8" t="n">
        <v>4</v>
      </c>
      <c r="O134" s="8" t="n">
        <v>3</v>
      </c>
      <c r="P134" s="8" t="n">
        <v>9</v>
      </c>
      <c r="Q134" s="8" t="inlineStr">
        <is>
          <t>2026-02-09</t>
        </is>
      </c>
      <c r="R134" s="8" t="inlineStr">
        <is>
          <t>WIP</t>
        </is>
      </c>
      <c r="S134" s="8" t="inlineStr">
        <is>
          <t>Pearl_Astra,Fade,Phoenix,Veto,Yoru</t>
        </is>
      </c>
    </row>
    <row r="135">
      <c r="A135" s="12" t="inlineStr">
        <is>
          <t>a4f98c73-c6de-4c7b-8ac1-9e2d7ccb505b</t>
        </is>
      </c>
      <c r="B135" s="12" t="inlineStr">
        <is>
          <t>Haven</t>
        </is>
      </c>
      <c r="C135" s="12" t="inlineStr">
        <is>
          <t>Mandatory</t>
        </is>
      </c>
      <c r="D135" s="12" t="inlineStr">
        <is>
          <t>WIP</t>
        </is>
      </c>
      <c r="E135" s="12" t="inlineStr">
        <is>
          <t>Killjoy,Neon,Omen,Sova,Viper</t>
        </is>
      </c>
      <c r="F135" s="12" t="inlineStr">
        <is>
          <t>Cypher,Neon,Omen,Sova,Yoru</t>
        </is>
      </c>
      <c r="G135" s="12" t="n">
        <v>13</v>
      </c>
      <c r="H135" s="12" t="n">
        <v>6</v>
      </c>
      <c r="I135" s="12" t="n">
        <v>10</v>
      </c>
      <c r="J135" s="12" t="n">
        <v>2</v>
      </c>
      <c r="K135" s="12" t="n">
        <v>1</v>
      </c>
      <c r="L135" s="12" t="n">
        <v>1</v>
      </c>
      <c r="M135" s="12" t="n">
        <v>10</v>
      </c>
      <c r="N135" s="12" t="n">
        <v>2</v>
      </c>
      <c r="O135" s="12" t="n">
        <v>3</v>
      </c>
      <c r="P135" s="12" t="n">
        <v>4</v>
      </c>
      <c r="Q135" s="12" t="inlineStr">
        <is>
          <t>2026-02-09</t>
        </is>
      </c>
      <c r="R135" s="12" t="inlineStr">
        <is>
          <t>Mandatory</t>
        </is>
      </c>
      <c r="S135" s="12" t="inlineStr">
        <is>
          <t>Haven_Killjoy,Neon,Omen,Sova,Viper</t>
        </is>
      </c>
    </row>
    <row r="136">
      <c r="A136" s="8" t="inlineStr">
        <is>
          <t>e579889f-1566-4518-a40a-9bf8873b4874</t>
        </is>
      </c>
      <c r="B136" s="8" t="inlineStr">
        <is>
          <t>Split</t>
        </is>
      </c>
      <c r="C136" s="8" t="inlineStr">
        <is>
          <t>Mandatory</t>
        </is>
      </c>
      <c r="D136" s="8" t="inlineStr">
        <is>
          <t>JL</t>
        </is>
      </c>
      <c r="E136" s="8" t="inlineStr">
        <is>
          <t>Fade,Omen,Viper,Waylay,Yoru</t>
        </is>
      </c>
      <c r="F136" s="8" t="inlineStr">
        <is>
          <t>Omen,Tejo,Viper,Waylay,Yoru</t>
        </is>
      </c>
      <c r="G136" s="8" t="n">
        <v>8</v>
      </c>
      <c r="H136" s="8" t="n">
        <v>13</v>
      </c>
      <c r="I136" s="8" t="n">
        <v>4</v>
      </c>
      <c r="J136" s="8" t="n">
        <v>8</v>
      </c>
      <c r="K136" s="8" t="n">
        <v>0</v>
      </c>
      <c r="L136" s="8" t="n">
        <v>0</v>
      </c>
      <c r="M136" s="8" t="n">
        <v>4</v>
      </c>
      <c r="N136" s="8" t="n">
        <v>8</v>
      </c>
      <c r="O136" s="8" t="n">
        <v>4</v>
      </c>
      <c r="P136" s="8" t="n">
        <v>5</v>
      </c>
      <c r="Q136" s="8" t="inlineStr">
        <is>
          <t>2026-02-08</t>
        </is>
      </c>
      <c r="R136" s="8" t="inlineStr">
        <is>
          <t>JL</t>
        </is>
      </c>
      <c r="S136" s="8" t="inlineStr">
        <is>
          <t>Split_Fade,Omen,Viper,Waylay,Yoru</t>
        </is>
      </c>
    </row>
    <row r="137">
      <c r="A137" s="12" t="inlineStr">
        <is>
          <t>a8dc5324-7603-4c01-bf59-3e6c1fdd65a8</t>
        </is>
      </c>
      <c r="B137" s="12" t="inlineStr">
        <is>
          <t>Haven</t>
        </is>
      </c>
      <c r="C137" s="12" t="inlineStr">
        <is>
          <t>Mandatory</t>
        </is>
      </c>
      <c r="D137" s="12" t="inlineStr">
        <is>
          <t>JL</t>
        </is>
      </c>
      <c r="E137" s="12" t="inlineStr">
        <is>
          <t>Killjoy,Neon,Omen,Sova,Viper</t>
        </is>
      </c>
      <c r="F137" s="12" t="inlineStr">
        <is>
          <t>Brimstone,Cypher,Sova,Waylay,Yoru</t>
        </is>
      </c>
      <c r="G137" s="12" t="n">
        <v>13</v>
      </c>
      <c r="H137" s="12" t="n">
        <v>5</v>
      </c>
      <c r="I137" s="12" t="n">
        <v>7</v>
      </c>
      <c r="J137" s="12" t="n">
        <v>5</v>
      </c>
      <c r="K137" s="12" t="n">
        <v>1</v>
      </c>
      <c r="L137" s="12" t="n">
        <v>1</v>
      </c>
      <c r="M137" s="12" t="n">
        <v>7</v>
      </c>
      <c r="N137" s="12" t="n">
        <v>5</v>
      </c>
      <c r="O137" s="12" t="n">
        <v>6</v>
      </c>
      <c r="P137" s="12" t="n">
        <v>0</v>
      </c>
      <c r="Q137" s="12" t="inlineStr">
        <is>
          <t>2026-02-08</t>
        </is>
      </c>
      <c r="R137" s="12" t="inlineStr">
        <is>
          <t>Mandatory</t>
        </is>
      </c>
      <c r="S137" s="12" t="inlineStr">
        <is>
          <t>Haven_Killjoy,Neon,Omen,Sova,Viper</t>
        </is>
      </c>
    </row>
    <row r="138">
      <c r="A138" s="8" t="inlineStr">
        <is>
          <t>70c387cc-ef67-4c7a-aaa5-f552c467ec67</t>
        </is>
      </c>
      <c r="B138" s="8" t="inlineStr">
        <is>
          <t>Abyss</t>
        </is>
      </c>
      <c r="C138" s="8" t="inlineStr">
        <is>
          <t>Mandatory</t>
        </is>
      </c>
      <c r="D138" s="8" t="inlineStr">
        <is>
          <t>JL</t>
        </is>
      </c>
      <c r="E138" s="8" t="inlineStr">
        <is>
          <t>Brimstone,KAY/O,Omen,Tejo,Waylay</t>
        </is>
      </c>
      <c r="F138" s="8" t="inlineStr">
        <is>
          <t>Astra,Sova,Veto,Waylay,Yoru</t>
        </is>
      </c>
      <c r="G138" s="8" t="n">
        <v>9</v>
      </c>
      <c r="H138" s="8" t="n">
        <v>13</v>
      </c>
      <c r="I138" s="8" t="n">
        <v>9</v>
      </c>
      <c r="J138" s="8" t="n">
        <v>3</v>
      </c>
      <c r="K138" s="8" t="n">
        <v>1</v>
      </c>
      <c r="L138" s="8" t="n">
        <v>0</v>
      </c>
      <c r="M138" s="8" t="n">
        <v>9</v>
      </c>
      <c r="N138" s="8" t="n">
        <v>3</v>
      </c>
      <c r="O138" s="8" t="n">
        <v>0</v>
      </c>
      <c r="P138" s="8" t="n">
        <v>10</v>
      </c>
      <c r="Q138" s="8" t="inlineStr">
        <is>
          <t>2026-02-08</t>
        </is>
      </c>
      <c r="R138" s="8" t="inlineStr">
        <is>
          <t>JL</t>
        </is>
      </c>
      <c r="S138" s="8" t="inlineStr">
        <is>
          <t>Abyss_Brimstone,KAY/O,Omen,Tejo,Waylay</t>
        </is>
      </c>
    </row>
    <row r="139">
      <c r="A139" s="12" t="inlineStr">
        <is>
          <t>476b0b0b-919f-4c24-ad1b-b43a9f7c0f74</t>
        </is>
      </c>
      <c r="B139" s="12" t="inlineStr">
        <is>
          <t>Haven</t>
        </is>
      </c>
      <c r="C139" s="12" t="inlineStr">
        <is>
          <t>Mandatory</t>
        </is>
      </c>
      <c r="D139" s="12" t="inlineStr">
        <is>
          <t>GL</t>
        </is>
      </c>
      <c r="E139" s="12" t="inlineStr">
        <is>
          <t>Killjoy,Neon,Omen,Sova,Viper</t>
        </is>
      </c>
      <c r="F139" s="12" t="inlineStr">
        <is>
          <t>Cypher,Omen,Sova,Waylay,Yoru</t>
        </is>
      </c>
      <c r="G139" s="12" t="n">
        <v>13</v>
      </c>
      <c r="H139" s="12" t="n">
        <v>4</v>
      </c>
      <c r="I139" s="12" t="n">
        <v>10</v>
      </c>
      <c r="J139" s="12" t="n">
        <v>2</v>
      </c>
      <c r="K139" s="12" t="n">
        <v>1</v>
      </c>
      <c r="L139" s="12" t="n">
        <v>1</v>
      </c>
      <c r="M139" s="12" t="n">
        <v>10</v>
      </c>
      <c r="N139" s="12" t="n">
        <v>2</v>
      </c>
      <c r="O139" s="12" t="n">
        <v>3</v>
      </c>
      <c r="P139" s="12" t="n">
        <v>2</v>
      </c>
      <c r="Q139" s="12" t="inlineStr">
        <is>
          <t>2026-02-07</t>
        </is>
      </c>
      <c r="R139" s="12" t="inlineStr">
        <is>
          <t>Mandatory</t>
        </is>
      </c>
      <c r="S139" s="12" t="inlineStr">
        <is>
          <t>Haven_Killjoy,Neon,Omen,Sova,Viper</t>
        </is>
      </c>
    </row>
    <row r="140">
      <c r="A140" s="8" t="inlineStr">
        <is>
          <t>79be8d5c-0233-41f4-a45b-c38f1b5a901b</t>
        </is>
      </c>
      <c r="B140" s="8" t="inlineStr">
        <is>
          <t>Breeze</t>
        </is>
      </c>
      <c r="C140" s="8" t="inlineStr">
        <is>
          <t>Mandatory</t>
        </is>
      </c>
      <c r="D140" s="8" t="inlineStr">
        <is>
          <t>GL</t>
        </is>
      </c>
      <c r="E140" s="8" t="inlineStr">
        <is>
          <t>Jett,Omen,Sova,Viper,Yoru</t>
        </is>
      </c>
      <c r="F140" s="8" t="inlineStr">
        <is>
          <t>Astra,Jett,Sova,Viper,Yoru</t>
        </is>
      </c>
      <c r="G140" s="8" t="n">
        <v>13</v>
      </c>
      <c r="H140" s="8" t="n">
        <v>6</v>
      </c>
      <c r="I140" s="8" t="n">
        <v>9</v>
      </c>
      <c r="J140" s="8" t="n">
        <v>3</v>
      </c>
      <c r="K140" s="8" t="n">
        <v>0</v>
      </c>
      <c r="L140" s="8" t="n">
        <v>1</v>
      </c>
      <c r="M140" s="8" t="n">
        <v>4</v>
      </c>
      <c r="N140" s="8" t="n">
        <v>3</v>
      </c>
      <c r="O140" s="8" t="n">
        <v>9</v>
      </c>
      <c r="P140" s="8" t="n">
        <v>3</v>
      </c>
      <c r="Q140" s="8" t="inlineStr">
        <is>
          <t>2026-02-07</t>
        </is>
      </c>
      <c r="R140" s="8" t="inlineStr">
        <is>
          <t>Mandatory</t>
        </is>
      </c>
      <c r="S140" s="8" t="inlineStr">
        <is>
          <t>Breeze_Jett,Omen,Sova,Viper,Yoru</t>
        </is>
      </c>
    </row>
    <row r="141">
      <c r="A141" s="12" t="inlineStr">
        <is>
          <t>6f1d1f96-8702-4b2d-8510-f35f1712f948</t>
        </is>
      </c>
      <c r="B141" s="12" t="inlineStr">
        <is>
          <t>Haven</t>
        </is>
      </c>
      <c r="C141" s="12" t="inlineStr">
        <is>
          <t>Mandatory</t>
        </is>
      </c>
      <c r="D141" s="12" t="inlineStr">
        <is>
          <t>WIP</t>
        </is>
      </c>
      <c r="E141" s="12" t="inlineStr">
        <is>
          <t>Killjoy,Neon,Omen,Sova,Viper</t>
        </is>
      </c>
      <c r="F141" s="12" t="inlineStr">
        <is>
          <t>Cypher,Neon,Omen,Sova,Yoru</t>
        </is>
      </c>
      <c r="G141" s="12" t="n">
        <v>13</v>
      </c>
      <c r="H141" s="12" t="n">
        <v>7</v>
      </c>
      <c r="I141" s="12" t="n">
        <v>6</v>
      </c>
      <c r="J141" s="12" t="n">
        <v>6</v>
      </c>
      <c r="K141" s="12" t="n">
        <v>0</v>
      </c>
      <c r="L141" s="12" t="n">
        <v>1</v>
      </c>
      <c r="M141" s="12" t="n">
        <v>6</v>
      </c>
      <c r="N141" s="12" t="n">
        <v>6</v>
      </c>
      <c r="O141" s="12" t="n">
        <v>7</v>
      </c>
      <c r="P141" s="12" t="n">
        <v>1</v>
      </c>
      <c r="Q141" s="12" t="inlineStr">
        <is>
          <t>2026-02-01</t>
        </is>
      </c>
      <c r="R141" s="12" t="inlineStr">
        <is>
          <t>Mandatory</t>
        </is>
      </c>
      <c r="S141" s="12" t="inlineStr">
        <is>
          <t>Haven_Killjoy,Neon,Omen,Sova,Viper</t>
        </is>
      </c>
    </row>
    <row r="142">
      <c r="A142" s="8" t="inlineStr">
        <is>
          <t>7b8ec3dc-0632-4f53-ba71-0cc6d49a80e1</t>
        </is>
      </c>
      <c r="B142" s="8" t="inlineStr">
        <is>
          <t>Corrode</t>
        </is>
      </c>
      <c r="C142" s="8" t="inlineStr">
        <is>
          <t>Mandatory</t>
        </is>
      </c>
      <c r="D142" s="8" t="inlineStr">
        <is>
          <t>WIP</t>
        </is>
      </c>
      <c r="E142" s="8" t="inlineStr">
        <is>
          <t>Astra,Chamber,Phoenix,Sova,Yoru</t>
        </is>
      </c>
      <c r="F142" s="8" t="inlineStr">
        <is>
          <t>Fade,Omen,Sage,Viper,Waylay</t>
        </is>
      </c>
      <c r="G142" s="8" t="n">
        <v>13</v>
      </c>
      <c r="H142" s="8" t="n">
        <v>6</v>
      </c>
      <c r="I142" s="8" t="n">
        <v>9</v>
      </c>
      <c r="J142" s="8" t="n">
        <v>3</v>
      </c>
      <c r="K142" s="8" t="n">
        <v>1</v>
      </c>
      <c r="L142" s="8" t="n">
        <v>1</v>
      </c>
      <c r="M142" s="8" t="n">
        <v>4</v>
      </c>
      <c r="N142" s="8" t="n">
        <v>3</v>
      </c>
      <c r="O142" s="8" t="n">
        <v>9</v>
      </c>
      <c r="P142" s="8" t="n">
        <v>3</v>
      </c>
      <c r="Q142" s="8" t="inlineStr">
        <is>
          <t>2026-02-01</t>
        </is>
      </c>
      <c r="R142" s="8" t="inlineStr">
        <is>
          <t>Mandatory</t>
        </is>
      </c>
      <c r="S142" s="8" t="inlineStr">
        <is>
          <t>Corrode_Astra,Chamber,Phoenix,Sova,Yoru</t>
        </is>
      </c>
    </row>
    <row r="143">
      <c r="A143" s="12" t="inlineStr">
        <is>
          <t>9353d0f9-2d61-4b22-825b-4022c02436e6</t>
        </is>
      </c>
      <c r="B143" s="12" t="inlineStr">
        <is>
          <t>Breeze</t>
        </is>
      </c>
      <c r="C143" s="12" t="inlineStr">
        <is>
          <t>Mandatory</t>
        </is>
      </c>
      <c r="D143" s="12" t="inlineStr">
        <is>
          <t>CLA</t>
        </is>
      </c>
      <c r="E143" s="12" t="inlineStr">
        <is>
          <t>Astra,Neon,Sova,Viper,Yoru</t>
        </is>
      </c>
      <c r="F143" s="12" t="inlineStr">
        <is>
          <t>Omen,Sova,Viper,Waylay,Yoru</t>
        </is>
      </c>
      <c r="G143" s="12" t="n">
        <v>13</v>
      </c>
      <c r="H143" s="12" t="n">
        <v>11</v>
      </c>
      <c r="I143" s="12" t="n">
        <v>3</v>
      </c>
      <c r="J143" s="12" t="n">
        <v>9</v>
      </c>
      <c r="K143" s="12" t="n">
        <v>1</v>
      </c>
      <c r="L143" s="12" t="n">
        <v>0</v>
      </c>
      <c r="M143" s="12" t="n">
        <v>10</v>
      </c>
      <c r="N143" s="12" t="n">
        <v>2</v>
      </c>
      <c r="O143" s="12" t="n">
        <v>3</v>
      </c>
      <c r="P143" s="12" t="n">
        <v>9</v>
      </c>
      <c r="Q143" s="12" t="inlineStr">
        <is>
          <t>2026-01-25</t>
        </is>
      </c>
      <c r="R143" s="12" t="inlineStr">
        <is>
          <t>Mandatory</t>
        </is>
      </c>
      <c r="S143" s="12" t="inlineStr">
        <is>
          <t>Breeze_Astra,Neon,Sova,Viper,Yoru</t>
        </is>
      </c>
    </row>
    <row r="144">
      <c r="A144" s="8" t="inlineStr">
        <is>
          <t>ade6eb98-0128-41f9-a76d-db8b6e3a6bf9</t>
        </is>
      </c>
      <c r="B144" s="8" t="inlineStr">
        <is>
          <t>Haven</t>
        </is>
      </c>
      <c r="C144" s="8" t="inlineStr">
        <is>
          <t>Mandatory</t>
        </is>
      </c>
      <c r="D144" s="8" t="inlineStr">
        <is>
          <t>CLA</t>
        </is>
      </c>
      <c r="E144" s="8" t="inlineStr">
        <is>
          <t>Killjoy,Neon,Omen,Sova,Viper</t>
        </is>
      </c>
      <c r="F144" s="8" t="inlineStr">
        <is>
          <t>Cypher,Omen,Sova,Waylay,Yoru</t>
        </is>
      </c>
      <c r="G144" s="8" t="n">
        <v>13</v>
      </c>
      <c r="H144" s="8" t="n">
        <v>8</v>
      </c>
      <c r="I144" s="8" t="n">
        <v>7</v>
      </c>
      <c r="J144" s="8" t="n">
        <v>5</v>
      </c>
      <c r="K144" s="8" t="n">
        <v>0</v>
      </c>
      <c r="L144" s="8" t="n">
        <v>1</v>
      </c>
      <c r="M144" s="8" t="n">
        <v>6</v>
      </c>
      <c r="N144" s="8" t="n">
        <v>3</v>
      </c>
      <c r="O144" s="8" t="n">
        <v>7</v>
      </c>
      <c r="P144" s="8" t="n">
        <v>5</v>
      </c>
      <c r="Q144" s="8" t="inlineStr">
        <is>
          <t>2026-01-25</t>
        </is>
      </c>
      <c r="R144" s="8" t="inlineStr">
        <is>
          <t>Mandatory</t>
        </is>
      </c>
      <c r="S144" s="8" t="inlineStr">
        <is>
          <t>Haven_Killjoy,Neon,Omen,Sova,Viper</t>
        </is>
      </c>
    </row>
    <row r="145">
      <c r="A145" s="12" t="inlineStr">
        <is>
          <t>ccb099ea-f02a-4eb7-a3ac-abf817ff28a8</t>
        </is>
      </c>
      <c r="B145" s="12" t="inlineStr">
        <is>
          <t>Haven</t>
        </is>
      </c>
      <c r="C145" s="12" t="inlineStr">
        <is>
          <t>Mandatory</t>
        </is>
      </c>
      <c r="D145" s="12" t="inlineStr">
        <is>
          <t>ERAH</t>
        </is>
      </c>
      <c r="E145" s="12" t="inlineStr">
        <is>
          <t>Killjoy,Neon,Omen,Sova,Viper</t>
        </is>
      </c>
      <c r="F145" s="12" t="inlineStr">
        <is>
          <t>Cypher,Neon,Omen,Sova,Viper</t>
        </is>
      </c>
      <c r="G145" s="12" t="n">
        <v>13</v>
      </c>
      <c r="H145" s="12" t="n">
        <v>6</v>
      </c>
      <c r="I145" s="12" t="n">
        <v>7</v>
      </c>
      <c r="J145" s="12" t="n">
        <v>5</v>
      </c>
      <c r="K145" s="12" t="n">
        <v>0</v>
      </c>
      <c r="L145" s="12" t="n">
        <v>1</v>
      </c>
      <c r="M145" s="12" t="n">
        <v>7</v>
      </c>
      <c r="N145" s="12" t="n">
        <v>5</v>
      </c>
      <c r="O145" s="12" t="n">
        <v>6</v>
      </c>
      <c r="P145" s="12" t="n">
        <v>1</v>
      </c>
      <c r="Q145" s="12" t="inlineStr">
        <is>
          <t>2026-01-24</t>
        </is>
      </c>
      <c r="R145" s="12" t="inlineStr">
        <is>
          <t>Mandatory</t>
        </is>
      </c>
      <c r="S145" s="12" t="inlineStr">
        <is>
          <t>Haven_Killjoy,Neon,Omen,Sova,Viper</t>
        </is>
      </c>
    </row>
    <row r="146">
      <c r="A146" s="8" t="inlineStr">
        <is>
          <t>3fc8fbe9-88c8-4d74-8dd8-b4df4a831b6f</t>
        </is>
      </c>
      <c r="B146" s="8" t="inlineStr">
        <is>
          <t>Corrode</t>
        </is>
      </c>
      <c r="C146" s="8" t="inlineStr">
        <is>
          <t>Mandatory</t>
        </is>
      </c>
      <c r="D146" s="8" t="inlineStr">
        <is>
          <t>ERAH</t>
        </is>
      </c>
      <c r="E146" s="8" t="inlineStr">
        <is>
          <t>Brimstone,KAY/O,Omen,Sova,Waylay</t>
        </is>
      </c>
      <c r="F146" s="8" t="inlineStr">
        <is>
          <t>Brimstone,Fade,Omen,Waylay,Yoru</t>
        </is>
      </c>
      <c r="G146" s="8" t="n">
        <v>13</v>
      </c>
      <c r="H146" s="8" t="n">
        <v>4</v>
      </c>
      <c r="I146" s="8" t="n">
        <v>8</v>
      </c>
      <c r="J146" s="8" t="n">
        <v>4</v>
      </c>
      <c r="K146" s="8" t="n">
        <v>0</v>
      </c>
      <c r="L146" s="8" t="n">
        <v>1</v>
      </c>
      <c r="M146" s="8" t="n">
        <v>8</v>
      </c>
      <c r="N146" s="8" t="n">
        <v>4</v>
      </c>
      <c r="O146" s="8" t="n">
        <v>5</v>
      </c>
      <c r="P146" s="8" t="n">
        <v>0</v>
      </c>
      <c r="Q146" s="8" t="inlineStr">
        <is>
          <t>2026-01-24</t>
        </is>
      </c>
      <c r="R146" s="8" t="inlineStr">
        <is>
          <t>Mandatory</t>
        </is>
      </c>
      <c r="S146" s="8" t="inlineStr">
        <is>
          <t>Corrode_Brimstone,KAY/O,Omen,Sova,Waylay</t>
        </is>
      </c>
    </row>
    <row r="147">
      <c r="A147" s="12" t="inlineStr">
        <is>
          <t>a4918781-85bc-486b-9b99-c80940696c72</t>
        </is>
      </c>
      <c r="B147" s="12" t="inlineStr">
        <is>
          <t>Corrode</t>
        </is>
      </c>
      <c r="C147" s="12" t="inlineStr">
        <is>
          <t>Mandatory</t>
        </is>
      </c>
      <c r="D147" s="12" t="inlineStr">
        <is>
          <t>F9</t>
        </is>
      </c>
      <c r="E147" s="12" t="inlineStr">
        <is>
          <t>Brimstone,KAY/O,Omen,Sova,Waylay</t>
        </is>
      </c>
      <c r="F147" s="12" t="inlineStr">
        <is>
          <t>KAY/O,Omen,Sova,Viper,Waylay</t>
        </is>
      </c>
      <c r="G147" s="12" t="n">
        <v>13</v>
      </c>
      <c r="H147" s="12" t="n">
        <v>6</v>
      </c>
      <c r="I147" s="12" t="n">
        <v>8</v>
      </c>
      <c r="J147" s="12" t="n">
        <v>4</v>
      </c>
      <c r="K147" s="12" t="n">
        <v>1</v>
      </c>
      <c r="L147" s="12" t="n">
        <v>1</v>
      </c>
      <c r="M147" s="12" t="n">
        <v>8</v>
      </c>
      <c r="N147" s="12" t="n">
        <v>4</v>
      </c>
      <c r="O147" s="12" t="n">
        <v>5</v>
      </c>
      <c r="P147" s="12" t="n">
        <v>2</v>
      </c>
      <c r="Q147" s="12" t="inlineStr">
        <is>
          <t>2026-01-18</t>
        </is>
      </c>
      <c r="R147" s="12" t="inlineStr">
        <is>
          <t>Mandatory</t>
        </is>
      </c>
      <c r="S147" s="12" t="inlineStr">
        <is>
          <t>Corrode_Brimstone,KAY/O,Omen,Sova,Waylay</t>
        </is>
      </c>
    </row>
    <row r="148">
      <c r="A148" s="8" t="inlineStr">
        <is>
          <t>b532b912-6625-4097-9bfc-3cbef8b6c2dd</t>
        </is>
      </c>
      <c r="B148" s="8" t="inlineStr">
        <is>
          <t>Split</t>
        </is>
      </c>
      <c r="C148" s="8" t="inlineStr">
        <is>
          <t>Mandatory</t>
        </is>
      </c>
      <c r="D148" s="8" t="inlineStr">
        <is>
          <t>F9</t>
        </is>
      </c>
      <c r="E148" s="8" t="inlineStr">
        <is>
          <t>Astra,Fade,Viper,Waylay,Yoru</t>
        </is>
      </c>
      <c r="F148" s="8" t="inlineStr">
        <is>
          <t>Fade,Omen,Raze,Viper,Yoru</t>
        </is>
      </c>
      <c r="G148" s="8" t="n">
        <v>13</v>
      </c>
      <c r="H148" s="8" t="n">
        <v>4</v>
      </c>
      <c r="I148" s="8" t="n">
        <v>8</v>
      </c>
      <c r="J148" s="8" t="n">
        <v>4</v>
      </c>
      <c r="K148" s="8" t="n">
        <v>0</v>
      </c>
      <c r="L148" s="8" t="n">
        <v>1</v>
      </c>
      <c r="M148" s="8" t="n">
        <v>8</v>
      </c>
      <c r="N148" s="8" t="n">
        <v>4</v>
      </c>
      <c r="O148" s="8" t="n">
        <v>5</v>
      </c>
      <c r="P148" s="8" t="n">
        <v>0</v>
      </c>
      <c r="Q148" s="8" t="inlineStr">
        <is>
          <t>2026-01-18</t>
        </is>
      </c>
      <c r="R148" s="8" t="inlineStr">
        <is>
          <t>Mandatory</t>
        </is>
      </c>
      <c r="S148" s="8" t="inlineStr">
        <is>
          <t>Split_Astra,Fade,Viper,Waylay,Yoru</t>
        </is>
      </c>
    </row>
    <row r="149">
      <c r="A149" s="12" t="inlineStr">
        <is>
          <t>e9d66709-95b4-4ebc-a957-2fdc599c3191</t>
        </is>
      </c>
      <c r="B149" s="12" t="inlineStr">
        <is>
          <t>Corrode</t>
        </is>
      </c>
      <c r="C149" s="12" t="inlineStr">
        <is>
          <t>Mandatory</t>
        </is>
      </c>
      <c r="D149" s="12" t="inlineStr">
        <is>
          <t>JL</t>
        </is>
      </c>
      <c r="E149" s="12" t="inlineStr">
        <is>
          <t>Brimstone,KAY/O,Omen,Sova,Waylay</t>
        </is>
      </c>
      <c r="F149" s="12" t="inlineStr">
        <is>
          <t>KAY/O,Omen,Sova,Viper,Waylay</t>
        </is>
      </c>
      <c r="G149" s="12" t="n">
        <v>6</v>
      </c>
      <c r="H149" s="12" t="n">
        <v>13</v>
      </c>
      <c r="I149" s="12" t="n">
        <v>3</v>
      </c>
      <c r="J149" s="12" t="n">
        <v>9</v>
      </c>
      <c r="K149" s="12" t="n">
        <v>1</v>
      </c>
      <c r="L149" s="12" t="n">
        <v>0</v>
      </c>
      <c r="M149" s="12" t="n">
        <v>3</v>
      </c>
      <c r="N149" s="12" t="n">
        <v>4</v>
      </c>
      <c r="O149" s="12" t="n">
        <v>3</v>
      </c>
      <c r="P149" s="12" t="n">
        <v>9</v>
      </c>
      <c r="Q149" s="12" t="inlineStr">
        <is>
          <t>2026-01-16</t>
        </is>
      </c>
      <c r="R149" s="12" t="inlineStr">
        <is>
          <t>JL</t>
        </is>
      </c>
      <c r="S149" s="12" t="inlineStr">
        <is>
          <t>Corrode_Brimstone,KAY/O,Omen,Sova,Waylay</t>
        </is>
      </c>
    </row>
    <row r="150">
      <c r="A150" s="8" t="inlineStr">
        <is>
          <t>e42d69cf-f9db-40f1-9cce-311813eef2c3</t>
        </is>
      </c>
      <c r="B150" s="8" t="inlineStr">
        <is>
          <t>Pearl</t>
        </is>
      </c>
      <c r="C150" s="8" t="inlineStr">
        <is>
          <t>Mandatory</t>
        </is>
      </c>
      <c r="D150" s="8" t="inlineStr">
        <is>
          <t>JL</t>
        </is>
      </c>
      <c r="E150" s="8" t="inlineStr">
        <is>
          <t>Astra,Fade,Killjoy,Tejo,Waylay</t>
        </is>
      </c>
      <c r="F150" s="8" t="inlineStr">
        <is>
          <t>Astra,Cypher,Neon,Phoenix,Sova</t>
        </is>
      </c>
      <c r="G150" s="8" t="n">
        <v>8</v>
      </c>
      <c r="H150" s="8" t="n">
        <v>13</v>
      </c>
      <c r="I150" s="8" t="n">
        <v>6</v>
      </c>
      <c r="J150" s="8" t="n">
        <v>6</v>
      </c>
      <c r="K150" s="8" t="n">
        <v>1</v>
      </c>
      <c r="L150" s="8" t="n">
        <v>0</v>
      </c>
      <c r="M150" s="8" t="n">
        <v>6</v>
      </c>
      <c r="N150" s="8" t="n">
        <v>6</v>
      </c>
      <c r="O150" s="8" t="n">
        <v>2</v>
      </c>
      <c r="P150" s="8" t="n">
        <v>7</v>
      </c>
      <c r="Q150" s="8" t="inlineStr">
        <is>
          <t>2026-01-16</t>
        </is>
      </c>
      <c r="R150" s="8" t="inlineStr">
        <is>
          <t>JL</t>
        </is>
      </c>
      <c r="S150" s="8" t="inlineStr">
        <is>
          <t>Pearl_Astra,Fade,Killjoy,Tejo,Waylay</t>
        </is>
      </c>
    </row>
    <row r="151">
      <c r="A151" s="12" t="inlineStr">
        <is>
          <t>3dc1a072-3f27-4288-8711-dc8f24b6a39f</t>
        </is>
      </c>
      <c r="B151" s="12" t="inlineStr">
        <is>
          <t>Haven</t>
        </is>
      </c>
      <c r="C151" s="12" t="inlineStr">
        <is>
          <t>Mandatory</t>
        </is>
      </c>
      <c r="D151" s="12" t="inlineStr">
        <is>
          <t>GL</t>
        </is>
      </c>
      <c r="E151" s="12" t="inlineStr">
        <is>
          <t>Killjoy,Neon,Omen,Sova,Viper</t>
        </is>
      </c>
      <c r="F151" s="12" t="inlineStr">
        <is>
          <t>Cypher,Omen,Sova,Waylay,Yoru</t>
        </is>
      </c>
      <c r="G151" s="12" t="n">
        <v>13</v>
      </c>
      <c r="H151" s="12" t="n">
        <v>10</v>
      </c>
      <c r="I151" s="12" t="n">
        <v>7</v>
      </c>
      <c r="J151" s="12" t="n">
        <v>5</v>
      </c>
      <c r="K151" s="12" t="n">
        <v>1</v>
      </c>
      <c r="L151" s="12" t="n">
        <v>1</v>
      </c>
      <c r="M151" s="12" t="n">
        <v>7</v>
      </c>
      <c r="N151" s="12" t="n">
        <v>5</v>
      </c>
      <c r="O151" s="12" t="n">
        <v>6</v>
      </c>
      <c r="P151" s="12" t="n">
        <v>5</v>
      </c>
      <c r="Q151" s="12" t="inlineStr">
        <is>
          <t>2026-01-11</t>
        </is>
      </c>
      <c r="R151" s="12" t="inlineStr">
        <is>
          <t>Mandatory</t>
        </is>
      </c>
      <c r="S151" s="12" t="inlineStr">
        <is>
          <t>Haven_Killjoy,Neon,Omen,Sova,Viper</t>
        </is>
      </c>
    </row>
    <row r="152">
      <c r="A152" s="8" t="inlineStr">
        <is>
          <t>6691adca-6917-4ddd-957a-a0fecd68bfb7</t>
        </is>
      </c>
      <c r="B152" s="8" t="inlineStr">
        <is>
          <t>Breeze</t>
        </is>
      </c>
      <c r="C152" s="8" t="inlineStr">
        <is>
          <t>Mandatory</t>
        </is>
      </c>
      <c r="D152" s="8" t="inlineStr">
        <is>
          <t>GL</t>
        </is>
      </c>
      <c r="E152" s="8" t="inlineStr">
        <is>
          <t>Astra,Jett,Skye,Sova,Viper</t>
        </is>
      </c>
      <c r="F152" s="8" t="inlineStr">
        <is>
          <t>Astra,Jett,Sova,Viper,Yoru</t>
        </is>
      </c>
      <c r="G152" s="8" t="n">
        <v>5</v>
      </c>
      <c r="H152" s="8" t="n">
        <v>13</v>
      </c>
      <c r="I152" s="8" t="n">
        <v>2</v>
      </c>
      <c r="J152" s="8" t="n">
        <v>10</v>
      </c>
      <c r="K152" s="8" t="n">
        <v>0</v>
      </c>
      <c r="L152" s="8" t="n">
        <v>1</v>
      </c>
      <c r="M152" s="8" t="n">
        <v>2</v>
      </c>
      <c r="N152" s="8" t="n">
        <v>10</v>
      </c>
      <c r="O152" s="8" t="n">
        <v>3</v>
      </c>
      <c r="P152" s="8" t="n">
        <v>3</v>
      </c>
      <c r="Q152" s="8" t="inlineStr">
        <is>
          <t>2026-01-11</t>
        </is>
      </c>
      <c r="R152" s="8" t="inlineStr">
        <is>
          <t>GL</t>
        </is>
      </c>
      <c r="S152" s="8" t="inlineStr">
        <is>
          <t>Breeze_Astra,Jett,Skye,Sova,Viper</t>
        </is>
      </c>
    </row>
    <row r="153">
      <c r="A153" s="12" t="inlineStr">
        <is>
          <t>40d3ec6e-aab6-4f4f-9e73-38d56ea96a77</t>
        </is>
      </c>
      <c r="B153" s="12" t="inlineStr">
        <is>
          <t>Split</t>
        </is>
      </c>
      <c r="C153" s="12" t="inlineStr">
        <is>
          <t>Mandatory</t>
        </is>
      </c>
      <c r="D153" s="12" t="inlineStr">
        <is>
          <t>GL</t>
        </is>
      </c>
      <c r="E153" s="12" t="inlineStr">
        <is>
          <t>Astra,Fade,Viper,Waylay,Yoru</t>
        </is>
      </c>
      <c r="F153" s="12" t="inlineStr">
        <is>
          <t>Fade,Omen,Raze,Viper,Yoru</t>
        </is>
      </c>
      <c r="G153" s="12" t="n">
        <v>13</v>
      </c>
      <c r="H153" s="12" t="n">
        <v>10</v>
      </c>
      <c r="I153" s="12" t="n">
        <v>5</v>
      </c>
      <c r="J153" s="12" t="n">
        <v>7</v>
      </c>
      <c r="K153" s="12" t="n">
        <v>1</v>
      </c>
      <c r="L153" s="12" t="n">
        <v>1</v>
      </c>
      <c r="M153" s="12" t="n">
        <v>8</v>
      </c>
      <c r="N153" s="12" t="n">
        <v>3</v>
      </c>
      <c r="O153" s="12" t="n">
        <v>5</v>
      </c>
      <c r="P153" s="12" t="n">
        <v>7</v>
      </c>
      <c r="Q153" s="12" t="inlineStr">
        <is>
          <t>2026-01-11</t>
        </is>
      </c>
      <c r="R153" s="12" t="inlineStr">
        <is>
          <t>Mandatory</t>
        </is>
      </c>
      <c r="S153" s="12" t="inlineStr">
        <is>
          <t>Split_Astra,Fade,Viper,Waylay,Yoru</t>
        </is>
      </c>
    </row>
    <row r="154">
      <c r="A154" s="8" t="inlineStr">
        <is>
          <t>630c9b06-cd81-42d5-901f-3250a3ccde0f</t>
        </is>
      </c>
      <c r="B154" s="8" t="inlineStr">
        <is>
          <t>Abyss</t>
        </is>
      </c>
      <c r="C154" s="8" t="inlineStr">
        <is>
          <t>Mandatory</t>
        </is>
      </c>
      <c r="D154" s="8" t="inlineStr">
        <is>
          <t>ES</t>
        </is>
      </c>
      <c r="E154" s="8" t="inlineStr">
        <is>
          <t>Brimstone,KAY/O,Omen,Tejo,Waylay</t>
        </is>
      </c>
      <c r="F154" s="8" t="inlineStr">
        <is>
          <t>Astra,Breach,Chamber,Tejo,Waylay</t>
        </is>
      </c>
      <c r="G154" s="8" t="n">
        <v>13</v>
      </c>
      <c r="H154" s="8" t="n">
        <v>6</v>
      </c>
      <c r="I154" s="8" t="n">
        <v>9</v>
      </c>
      <c r="J154" s="8" t="n">
        <v>3</v>
      </c>
      <c r="K154" s="8" t="n">
        <v>1</v>
      </c>
      <c r="L154" s="8" t="n">
        <v>0</v>
      </c>
      <c r="M154" s="8" t="n">
        <v>4</v>
      </c>
      <c r="N154" s="8" t="n">
        <v>3</v>
      </c>
      <c r="O154" s="8" t="n">
        <v>9</v>
      </c>
      <c r="P154" s="8" t="n">
        <v>3</v>
      </c>
      <c r="Q154" s="8" t="inlineStr">
        <is>
          <t>2026-01-10</t>
        </is>
      </c>
      <c r="R154" s="8" t="inlineStr">
        <is>
          <t>Mandatory</t>
        </is>
      </c>
      <c r="S154" s="8" t="inlineStr">
        <is>
          <t>Abyss_Brimstone,KAY/O,Omen,Tejo,Waylay</t>
        </is>
      </c>
    </row>
    <row r="155">
      <c r="A155" s="12" t="inlineStr">
        <is>
          <t>122fe4d9-9383-4abf-8f48-ac63ab75254d</t>
        </is>
      </c>
      <c r="B155" s="12" t="inlineStr">
        <is>
          <t>Haven</t>
        </is>
      </c>
      <c r="C155" s="12" t="inlineStr">
        <is>
          <t>Mandatory</t>
        </is>
      </c>
      <c r="D155" s="12" t="inlineStr">
        <is>
          <t>ES</t>
        </is>
      </c>
      <c r="E155" s="12" t="inlineStr">
        <is>
          <t>Killjoy,Neon,Omen,Sova,Viper</t>
        </is>
      </c>
      <c r="F155" s="12" t="inlineStr">
        <is>
          <t>Killjoy,Omen,Sova,Viper,Yoru</t>
        </is>
      </c>
      <c r="G155" s="12" t="n">
        <v>13</v>
      </c>
      <c r="H155" s="12" t="n">
        <v>7</v>
      </c>
      <c r="I155" s="12" t="n">
        <v>7</v>
      </c>
      <c r="J155" s="12" t="n">
        <v>5</v>
      </c>
      <c r="K155" s="12" t="n">
        <v>1</v>
      </c>
      <c r="L155" s="12" t="n">
        <v>0</v>
      </c>
      <c r="M155" s="12" t="n">
        <v>7</v>
      </c>
      <c r="N155" s="12" t="n">
        <v>5</v>
      </c>
      <c r="O155" s="12" t="n">
        <v>6</v>
      </c>
      <c r="P155" s="12" t="n">
        <v>2</v>
      </c>
      <c r="Q155" s="12" t="inlineStr">
        <is>
          <t>2026-01-10</t>
        </is>
      </c>
      <c r="R155" s="12" t="inlineStr">
        <is>
          <t>Mandatory</t>
        </is>
      </c>
      <c r="S155" s="12" t="inlineStr">
        <is>
          <t>Haven_Killjoy,Neon,Omen,Sova,Viper</t>
        </is>
      </c>
    </row>
    <row r="156">
      <c r="A156" s="8" t="inlineStr">
        <is>
          <t>b517d05b-77d1-4f85-a80d-197f8c524828</t>
        </is>
      </c>
      <c r="B156" s="8" t="inlineStr">
        <is>
          <t>Corrode</t>
        </is>
      </c>
      <c r="C156" s="8" t="inlineStr">
        <is>
          <t>Mandatory</t>
        </is>
      </c>
      <c r="D156" s="8" t="inlineStr">
        <is>
          <t>ES</t>
        </is>
      </c>
      <c r="E156" s="8" t="inlineStr">
        <is>
          <t>Brimstone,KAY/O,Omen,Sova,Waylay</t>
        </is>
      </c>
      <c r="F156" s="8" t="inlineStr">
        <is>
          <t>Fade,Omen,Tejo,Viper,Yoru</t>
        </is>
      </c>
      <c r="G156" s="8" t="n">
        <v>7</v>
      </c>
      <c r="H156" s="8" t="n">
        <v>13</v>
      </c>
      <c r="I156" s="8" t="n">
        <v>4</v>
      </c>
      <c r="J156" s="8" t="n">
        <v>8</v>
      </c>
      <c r="K156" s="8" t="n">
        <v>0</v>
      </c>
      <c r="L156" s="8" t="n">
        <v>0</v>
      </c>
      <c r="M156" s="8" t="n">
        <v>4</v>
      </c>
      <c r="N156" s="8" t="n">
        <v>8</v>
      </c>
      <c r="O156" s="8" t="n">
        <v>3</v>
      </c>
      <c r="P156" s="8" t="n">
        <v>5</v>
      </c>
      <c r="Q156" s="8" t="inlineStr">
        <is>
          <t>2026-01-10</t>
        </is>
      </c>
      <c r="R156" s="8" t="inlineStr">
        <is>
          <t>ES</t>
        </is>
      </c>
      <c r="S156" s="8" t="inlineStr">
        <is>
          <t>Corrode_Brimstone,KAY/O,Omen,Sova,Waylay</t>
        </is>
      </c>
    </row>
    <row r="157">
      <c r="A157" s="12" t="inlineStr">
        <is>
          <t>776fe13d-83ee-4a7f-b498-3df04f09b538</t>
        </is>
      </c>
      <c r="B157" s="12" t="inlineStr">
        <is>
          <t>Haven</t>
        </is>
      </c>
      <c r="C157" s="12" t="inlineStr">
        <is>
          <t>Enterprise Esports</t>
        </is>
      </c>
      <c r="D157" s="12" t="inlineStr">
        <is>
          <t>TL</t>
        </is>
      </c>
      <c r="E157" s="12" t="inlineStr">
        <is>
          <t>Cypher,Neon,Omen,Sova,Yoru</t>
        </is>
      </c>
      <c r="F157" s="12" t="inlineStr">
        <is>
          <t>Cypher,Neon,Omen,Sova,Yoru</t>
        </is>
      </c>
      <c r="G157" s="12" t="n">
        <v>13</v>
      </c>
      <c r="H157" s="12" t="n">
        <v>9</v>
      </c>
      <c r="I157" s="12" t="n">
        <v>8</v>
      </c>
      <c r="J157" s="12" t="n">
        <v>4</v>
      </c>
      <c r="K157" s="12" t="n">
        <v>1</v>
      </c>
      <c r="L157" s="12" t="n">
        <v>0</v>
      </c>
      <c r="M157" s="12" t="n">
        <v>8</v>
      </c>
      <c r="N157" s="12" t="n">
        <v>4</v>
      </c>
      <c r="O157" s="12" t="n">
        <v>5</v>
      </c>
      <c r="P157" s="12" t="n">
        <v>5</v>
      </c>
      <c r="Q157" s="12" t="inlineStr">
        <is>
          <t>2026-03-08</t>
        </is>
      </c>
      <c r="R157" s="12" t="inlineStr">
        <is>
          <t>Enterprise Esports</t>
        </is>
      </c>
      <c r="S157" s="12" t="inlineStr">
        <is>
          <t>Haven_Cypher,Neon,Omen,Sova,Yoru</t>
        </is>
      </c>
    </row>
    <row r="158">
      <c r="A158" s="8" t="inlineStr">
        <is>
          <t>ce66cb90-2779-4f57-a49e-c05fd4cdeac1</t>
        </is>
      </c>
      <c r="B158" s="8" t="inlineStr">
        <is>
          <t>Corrode</t>
        </is>
      </c>
      <c r="C158" s="8" t="inlineStr">
        <is>
          <t>Enterprise Esports</t>
        </is>
      </c>
      <c r="D158" s="8" t="inlineStr">
        <is>
          <t>TL</t>
        </is>
      </c>
      <c r="E158" s="8" t="inlineStr">
        <is>
          <t>Fade,KAY/O,Omen,Viper,Waylay</t>
        </is>
      </c>
      <c r="F158" s="8" t="inlineStr">
        <is>
          <t>Fade,Neon,Omen,Vyse,Yoru</t>
        </is>
      </c>
      <c r="G158" s="8" t="n">
        <v>14</v>
      </c>
      <c r="H158" s="8" t="n">
        <v>12</v>
      </c>
      <c r="I158" s="8" t="n">
        <v>6</v>
      </c>
      <c r="J158" s="8" t="n">
        <v>6</v>
      </c>
      <c r="K158" s="8" t="n">
        <v>0</v>
      </c>
      <c r="L158" s="8" t="n">
        <v>1</v>
      </c>
      <c r="M158" s="8" t="n">
        <v>7</v>
      </c>
      <c r="N158" s="8" t="n">
        <v>6</v>
      </c>
      <c r="O158" s="8" t="n">
        <v>7</v>
      </c>
      <c r="P158" s="8" t="n">
        <v>6</v>
      </c>
      <c r="Q158" s="8" t="inlineStr">
        <is>
          <t>2026-03-08</t>
        </is>
      </c>
      <c r="R158" s="8" t="inlineStr">
        <is>
          <t>Enterprise Esports</t>
        </is>
      </c>
      <c r="S158" s="8" t="inlineStr">
        <is>
          <t>Corrode_Fade,KAY/O,Omen,Viper,Waylay</t>
        </is>
      </c>
    </row>
    <row r="159">
      <c r="A159" s="12" t="inlineStr">
        <is>
          <t>8ccaa571-6d7a-4d77-b33a-7601f4c456ec</t>
        </is>
      </c>
      <c r="B159" s="12" t="inlineStr">
        <is>
          <t>Split</t>
        </is>
      </c>
      <c r="C159" s="12" t="inlineStr">
        <is>
          <t>Enterprise Esports</t>
        </is>
      </c>
      <c r="D159" s="12" t="inlineStr">
        <is>
          <t>TL</t>
        </is>
      </c>
      <c r="E159" s="12" t="inlineStr">
        <is>
          <t>Omen,Tejo,Viper,Waylay,Yoru</t>
        </is>
      </c>
      <c r="F159" s="12" t="inlineStr">
        <is>
          <t>Fade,Omen,Raze,Viper,Yoru</t>
        </is>
      </c>
      <c r="G159" s="12" t="n">
        <v>13</v>
      </c>
      <c r="H159" s="12" t="n">
        <v>4</v>
      </c>
      <c r="I159" s="12" t="n">
        <v>10</v>
      </c>
      <c r="J159" s="12" t="n">
        <v>2</v>
      </c>
      <c r="K159" s="12" t="n">
        <v>0</v>
      </c>
      <c r="L159" s="12" t="n">
        <v>0</v>
      </c>
      <c r="M159" s="12" t="n">
        <v>3</v>
      </c>
      <c r="N159" s="12" t="n">
        <v>2</v>
      </c>
      <c r="O159" s="12" t="n">
        <v>10</v>
      </c>
      <c r="P159" s="12" t="n">
        <v>2</v>
      </c>
      <c r="Q159" s="12" t="inlineStr">
        <is>
          <t>2026-03-08</t>
        </is>
      </c>
      <c r="R159" s="12" t="inlineStr">
        <is>
          <t>Enterprise Esports</t>
        </is>
      </c>
      <c r="S159" s="12" t="inlineStr">
        <is>
          <t>Split_Omen,Tejo,Viper,Waylay,Yoru</t>
        </is>
      </c>
    </row>
    <row r="160">
      <c r="A160" s="8" t="inlineStr">
        <is>
          <t>1dc643a5-93db-4f0c-945e-0dda1d275f95</t>
        </is>
      </c>
      <c r="B160" s="8" t="inlineStr">
        <is>
          <t>Pearl</t>
        </is>
      </c>
      <c r="C160" s="8" t="inlineStr">
        <is>
          <t>Enterprise Esports</t>
        </is>
      </c>
      <c r="D160" s="8" t="inlineStr">
        <is>
          <t>PXL</t>
        </is>
      </c>
      <c r="E160" s="8" t="inlineStr">
        <is>
          <t>Astra,Fade,Killjoy,Tejo,Yoru</t>
        </is>
      </c>
      <c r="F160" s="8" t="inlineStr">
        <is>
          <t>Astra,Killjoy,Neon,Sova,Yoru</t>
        </is>
      </c>
      <c r="G160" s="8" t="n">
        <v>13</v>
      </c>
      <c r="H160" s="8" t="n">
        <v>7</v>
      </c>
      <c r="I160" s="8" t="n">
        <v>10</v>
      </c>
      <c r="J160" s="8" t="n">
        <v>2</v>
      </c>
      <c r="K160" s="8" t="n">
        <v>1</v>
      </c>
      <c r="L160" s="8" t="n">
        <v>0</v>
      </c>
      <c r="M160" s="8" t="n">
        <v>10</v>
      </c>
      <c r="N160" s="8" t="n">
        <v>2</v>
      </c>
      <c r="O160" s="8" t="n">
        <v>3</v>
      </c>
      <c r="P160" s="8" t="n">
        <v>5</v>
      </c>
      <c r="Q160" s="8" t="inlineStr">
        <is>
          <t>2026-03-07</t>
        </is>
      </c>
      <c r="R160" s="8" t="inlineStr">
        <is>
          <t>Enterprise Esports</t>
        </is>
      </c>
      <c r="S160" s="8" t="inlineStr">
        <is>
          <t>Pearl_Astra,Fade,Killjoy,Tejo,Yoru</t>
        </is>
      </c>
    </row>
    <row r="161">
      <c r="A161" s="12" t="inlineStr">
        <is>
          <t>c3736a3a-4314-4c71-b801-62f61f4596f5</t>
        </is>
      </c>
      <c r="B161" s="12" t="inlineStr">
        <is>
          <t>Split</t>
        </is>
      </c>
      <c r="C161" s="12" t="inlineStr">
        <is>
          <t>Enterprise Esports</t>
        </is>
      </c>
      <c r="D161" s="12" t="inlineStr">
        <is>
          <t>PXL</t>
        </is>
      </c>
      <c r="E161" s="12" t="inlineStr">
        <is>
          <t>Omen,Tejo,Viper,Waylay,Yoru</t>
        </is>
      </c>
      <c r="F161" s="12" t="inlineStr">
        <is>
          <t>Fade,Omen,Raze,Viper,Yoru</t>
        </is>
      </c>
      <c r="G161" s="12" t="n">
        <v>13</v>
      </c>
      <c r="H161" s="12" t="n">
        <v>5</v>
      </c>
      <c r="I161" s="12" t="n">
        <v>10</v>
      </c>
      <c r="J161" s="12" t="n">
        <v>2</v>
      </c>
      <c r="K161" s="12" t="n">
        <v>0</v>
      </c>
      <c r="L161" s="12" t="n">
        <v>1</v>
      </c>
      <c r="M161" s="12" t="n">
        <v>3</v>
      </c>
      <c r="N161" s="12" t="n">
        <v>3</v>
      </c>
      <c r="O161" s="12" t="n">
        <v>10</v>
      </c>
      <c r="P161" s="12" t="n">
        <v>2</v>
      </c>
      <c r="Q161" s="12" t="inlineStr">
        <is>
          <t>2026-03-07</t>
        </is>
      </c>
      <c r="R161" s="12" t="inlineStr">
        <is>
          <t>Enterprise Esports</t>
        </is>
      </c>
      <c r="S161" s="12" t="inlineStr">
        <is>
          <t>Split_Omen,Tejo,Viper,Waylay,Yoru</t>
        </is>
      </c>
    </row>
    <row r="162">
      <c r="A162" s="8" t="inlineStr">
        <is>
          <t>2a6dfa85-e5b5-44a2-9f18-2c400159e50e</t>
        </is>
      </c>
      <c r="B162" s="8" t="inlineStr">
        <is>
          <t>Corrode</t>
        </is>
      </c>
      <c r="C162" s="8" t="inlineStr">
        <is>
          <t>Enterprise Esports</t>
        </is>
      </c>
      <c r="D162" s="8" t="inlineStr">
        <is>
          <t>TL</t>
        </is>
      </c>
      <c r="E162" s="8" t="inlineStr">
        <is>
          <t>Fade,KAY/O,Omen,Viper,Waylay</t>
        </is>
      </c>
      <c r="F162" s="8" t="inlineStr">
        <is>
          <t>Fade,Neon,Omen,Vyse,Yoru</t>
        </is>
      </c>
      <c r="G162" s="8" t="n">
        <v>9</v>
      </c>
      <c r="H162" s="8" t="n">
        <v>13</v>
      </c>
      <c r="I162" s="8" t="n">
        <v>2</v>
      </c>
      <c r="J162" s="8" t="n">
        <v>10</v>
      </c>
      <c r="K162" s="8" t="n">
        <v>1</v>
      </c>
      <c r="L162" s="8" t="n">
        <v>0</v>
      </c>
      <c r="M162" s="8" t="n">
        <v>7</v>
      </c>
      <c r="N162" s="8" t="n">
        <v>3</v>
      </c>
      <c r="O162" s="8" t="n">
        <v>2</v>
      </c>
      <c r="P162" s="8" t="n">
        <v>10</v>
      </c>
      <c r="Q162" s="8" t="inlineStr">
        <is>
          <t>2026-03-06</t>
        </is>
      </c>
      <c r="R162" s="8" t="inlineStr">
        <is>
          <t>TL</t>
        </is>
      </c>
      <c r="S162" s="8" t="inlineStr">
        <is>
          <t>Corrode_Fade,KAY/O,Omen,Viper,Waylay</t>
        </is>
      </c>
    </row>
    <row r="163">
      <c r="A163" s="12" t="inlineStr">
        <is>
          <t>41b694e1-8ede-44b7-ba0c-6491c1bc124f</t>
        </is>
      </c>
      <c r="B163" s="12" t="inlineStr">
        <is>
          <t>Bind</t>
        </is>
      </c>
      <c r="C163" s="12" t="inlineStr">
        <is>
          <t>Enterprise Esports</t>
        </is>
      </c>
      <c r="D163" s="12" t="inlineStr">
        <is>
          <t>TL</t>
        </is>
      </c>
      <c r="E163" s="12" t="inlineStr">
        <is>
          <t>Brimstone,Fade,Raze,Viper,Yoru</t>
        </is>
      </c>
      <c r="F163" s="12" t="inlineStr">
        <is>
          <t>Brimstone,Fade,Viper,Waylay,Yoru</t>
        </is>
      </c>
      <c r="G163" s="12" t="n">
        <v>7</v>
      </c>
      <c r="H163" s="12" t="n">
        <v>13</v>
      </c>
      <c r="I163" s="12" t="n">
        <v>3</v>
      </c>
      <c r="J163" s="12" t="n">
        <v>9</v>
      </c>
      <c r="K163" s="12" t="n">
        <v>1</v>
      </c>
      <c r="L163" s="12" t="n">
        <v>1</v>
      </c>
      <c r="M163" s="12" t="n">
        <v>3</v>
      </c>
      <c r="N163" s="12" t="n">
        <v>9</v>
      </c>
      <c r="O163" s="12" t="n">
        <v>4</v>
      </c>
      <c r="P163" s="12" t="n">
        <v>4</v>
      </c>
      <c r="Q163" s="12" t="inlineStr">
        <is>
          <t>2026-03-06</t>
        </is>
      </c>
      <c r="R163" s="12" t="inlineStr">
        <is>
          <t>TL</t>
        </is>
      </c>
      <c r="S163" s="12" t="inlineStr">
        <is>
          <t>Bind_Brimstone,Fade,Raze,Viper,Yoru</t>
        </is>
      </c>
    </row>
    <row r="164">
      <c r="A164" s="8" t="inlineStr">
        <is>
          <t>3635a3bd-7d2c-4f9f-b14b-750691a31da7</t>
        </is>
      </c>
      <c r="B164" s="8" t="inlineStr">
        <is>
          <t>Bind</t>
        </is>
      </c>
      <c r="C164" s="8" t="inlineStr">
        <is>
          <t>Enterprise Esports</t>
        </is>
      </c>
      <c r="D164" s="8" t="inlineStr">
        <is>
          <t>VR2</t>
        </is>
      </c>
      <c r="E164" s="8" t="inlineStr">
        <is>
          <t>Brimstone,Fade,Raze,Viper,Yoru</t>
        </is>
      </c>
      <c r="F164" s="8" t="inlineStr">
        <is>
          <t>Brimstone,Fade,Viper,Waylay,Yoru</t>
        </is>
      </c>
      <c r="G164" s="8" t="n">
        <v>13</v>
      </c>
      <c r="H164" s="8" t="n">
        <v>6</v>
      </c>
      <c r="I164" s="8" t="n">
        <v>7</v>
      </c>
      <c r="J164" s="8" t="n">
        <v>5</v>
      </c>
      <c r="K164" s="8" t="n">
        <v>1</v>
      </c>
      <c r="L164" s="8" t="n">
        <v>0</v>
      </c>
      <c r="M164" s="8" t="n">
        <v>6</v>
      </c>
      <c r="N164" s="8" t="n">
        <v>1</v>
      </c>
      <c r="O164" s="8" t="n">
        <v>7</v>
      </c>
      <c r="P164" s="8" t="n">
        <v>5</v>
      </c>
      <c r="Q164" s="8" t="inlineStr">
        <is>
          <t>2026-03-02</t>
        </is>
      </c>
      <c r="R164" s="8" t="inlineStr">
        <is>
          <t>Enterprise Esports</t>
        </is>
      </c>
      <c r="S164" s="8" t="inlineStr">
        <is>
          <t>Bind_Brimstone,Fade,Raze,Viper,Yoru</t>
        </is>
      </c>
    </row>
    <row r="165">
      <c r="A165" s="12" t="inlineStr">
        <is>
          <t>1a32eee3-cfaa-4578-aabe-c1183b12cf74</t>
        </is>
      </c>
      <c r="B165" s="12" t="inlineStr">
        <is>
          <t>Split</t>
        </is>
      </c>
      <c r="C165" s="12" t="inlineStr">
        <is>
          <t>Enterprise Esports</t>
        </is>
      </c>
      <c r="D165" s="12" t="inlineStr">
        <is>
          <t>VR2</t>
        </is>
      </c>
      <c r="E165" s="12" t="inlineStr">
        <is>
          <t>Omen,Tejo,Viper,Waylay,Yoru</t>
        </is>
      </c>
      <c r="F165" s="12" t="inlineStr">
        <is>
          <t>Fade,Omen,Viper,Waylay,Yoru</t>
        </is>
      </c>
      <c r="G165" s="12" t="n">
        <v>13</v>
      </c>
      <c r="H165" s="12" t="n">
        <v>7</v>
      </c>
      <c r="I165" s="12" t="n">
        <v>6</v>
      </c>
      <c r="J165" s="12" t="n">
        <v>6</v>
      </c>
      <c r="K165" s="12" t="n">
        <v>0</v>
      </c>
      <c r="L165" s="12" t="n">
        <v>1</v>
      </c>
      <c r="M165" s="12" t="n">
        <v>6</v>
      </c>
      <c r="N165" s="12" t="n">
        <v>6</v>
      </c>
      <c r="O165" s="12" t="n">
        <v>7</v>
      </c>
      <c r="P165" s="12" t="n">
        <v>1</v>
      </c>
      <c r="Q165" s="12" t="inlineStr">
        <is>
          <t>2026-03-02</t>
        </is>
      </c>
      <c r="R165" s="12" t="inlineStr">
        <is>
          <t>Enterprise Esports</t>
        </is>
      </c>
      <c r="S165" s="12" t="inlineStr">
        <is>
          <t>Split_Omen,Tejo,Viper,Waylay,Yoru</t>
        </is>
      </c>
    </row>
    <row r="166">
      <c r="A166" s="8" t="inlineStr">
        <is>
          <t>1c4f5cc0-da8d-4483-b5f7-1e410cccb4a5</t>
        </is>
      </c>
      <c r="B166" s="8" t="inlineStr">
        <is>
          <t>Haven</t>
        </is>
      </c>
      <c r="C166" s="8" t="inlineStr">
        <is>
          <t>Enterprise Esports</t>
        </is>
      </c>
      <c r="D166" s="8" t="inlineStr">
        <is>
          <t>BONK</t>
        </is>
      </c>
      <c r="E166" s="8" t="inlineStr">
        <is>
          <t>Cypher,Neon,Omen,Sova,Yoru</t>
        </is>
      </c>
      <c r="F166" s="8" t="inlineStr">
        <is>
          <t>Killjoy,Neon,Omen,Sova,Yoru</t>
        </is>
      </c>
      <c r="G166" s="8" t="n">
        <v>13</v>
      </c>
      <c r="H166" s="8" t="n">
        <v>4</v>
      </c>
      <c r="I166" s="8" t="n">
        <v>10</v>
      </c>
      <c r="J166" s="8" t="n">
        <v>2</v>
      </c>
      <c r="K166" s="8" t="n">
        <v>1</v>
      </c>
      <c r="L166" s="8" t="n">
        <v>1</v>
      </c>
      <c r="M166" s="8" t="n">
        <v>3</v>
      </c>
      <c r="N166" s="8" t="n">
        <v>2</v>
      </c>
      <c r="O166" s="8" t="n">
        <v>10</v>
      </c>
      <c r="P166" s="8" t="n">
        <v>2</v>
      </c>
      <c r="Q166" s="8" t="inlineStr">
        <is>
          <t>2026-03-01</t>
        </is>
      </c>
      <c r="R166" s="8" t="inlineStr">
        <is>
          <t>Enterprise Esports</t>
        </is>
      </c>
      <c r="S166" s="8" t="inlineStr">
        <is>
          <t>Haven_Cypher,Neon,Omen,Sova,Yoru</t>
        </is>
      </c>
    </row>
    <row r="167">
      <c r="A167" s="12" t="inlineStr">
        <is>
          <t>ed3548d4-5c3d-49b2-80ba-3a2e0ebfdc26</t>
        </is>
      </c>
      <c r="B167" s="12" t="inlineStr">
        <is>
          <t>Pearl</t>
        </is>
      </c>
      <c r="C167" s="12" t="inlineStr">
        <is>
          <t>Enterprise Esports</t>
        </is>
      </c>
      <c r="D167" s="12" t="inlineStr">
        <is>
          <t>BONK</t>
        </is>
      </c>
      <c r="E167" s="12" t="inlineStr">
        <is>
          <t>Astra,Fade,Killjoy,Tejo,Yoru</t>
        </is>
      </c>
      <c r="F167" s="12" t="inlineStr">
        <is>
          <t>Astra,Fade,Jett,KAY/O,Killjoy</t>
        </is>
      </c>
      <c r="G167" s="12" t="n">
        <v>13</v>
      </c>
      <c r="H167" s="12" t="n">
        <v>7</v>
      </c>
      <c r="I167" s="12" t="n">
        <v>7</v>
      </c>
      <c r="J167" s="12" t="n">
        <v>5</v>
      </c>
      <c r="K167" s="12" t="n">
        <v>1</v>
      </c>
      <c r="L167" s="12" t="n">
        <v>0</v>
      </c>
      <c r="M167" s="12" t="n">
        <v>7</v>
      </c>
      <c r="N167" s="12" t="n">
        <v>5</v>
      </c>
      <c r="O167" s="12" t="n">
        <v>6</v>
      </c>
      <c r="P167" s="12" t="n">
        <v>2</v>
      </c>
      <c r="Q167" s="12" t="inlineStr">
        <is>
          <t>2026-03-01</t>
        </is>
      </c>
      <c r="R167" s="12" t="inlineStr">
        <is>
          <t>Enterprise Esports</t>
        </is>
      </c>
      <c r="S167" s="12" t="inlineStr">
        <is>
          <t>Pearl_Astra,Fade,Killjoy,Tejo,Yoru</t>
        </is>
      </c>
    </row>
    <row r="168">
      <c r="A168" s="8" t="inlineStr">
        <is>
          <t>09180a36-e592-4689-9a15-0e5142ea10b9</t>
        </is>
      </c>
      <c r="B168" s="8" t="inlineStr">
        <is>
          <t>Bind</t>
        </is>
      </c>
      <c r="C168" s="8" t="inlineStr">
        <is>
          <t>Enterprise Esports</t>
        </is>
      </c>
      <c r="D168" s="8" t="inlineStr">
        <is>
          <t>BONK</t>
        </is>
      </c>
      <c r="E168" s="8" t="inlineStr">
        <is>
          <t>Brimstone,Fade,Raze,Viper,Yoru</t>
        </is>
      </c>
      <c r="F168" s="8" t="inlineStr">
        <is>
          <t>Brimstone,Fade,Gekko,Raze,Viper</t>
        </is>
      </c>
      <c r="G168" s="8" t="n">
        <v>8</v>
      </c>
      <c r="H168" s="8" t="n">
        <v>13</v>
      </c>
      <c r="I168" s="8" t="n">
        <v>3</v>
      </c>
      <c r="J168" s="8" t="n">
        <v>9</v>
      </c>
      <c r="K168" s="8" t="n">
        <v>0</v>
      </c>
      <c r="L168" s="8" t="n">
        <v>0</v>
      </c>
      <c r="M168" s="8" t="n">
        <v>5</v>
      </c>
      <c r="N168" s="8" t="n">
        <v>4</v>
      </c>
      <c r="O168" s="8" t="n">
        <v>3</v>
      </c>
      <c r="P168" s="8" t="n">
        <v>9</v>
      </c>
      <c r="Q168" s="8" t="inlineStr">
        <is>
          <t>2026-03-01</t>
        </is>
      </c>
      <c r="R168" s="8" t="inlineStr">
        <is>
          <t>BONK</t>
        </is>
      </c>
      <c r="S168" s="8" t="inlineStr">
        <is>
          <t>Bind_Brimstone,Fade,Raze,Viper,Yoru</t>
        </is>
      </c>
    </row>
    <row r="169">
      <c r="A169" s="12" t="inlineStr">
        <is>
          <t>c4276ee3-262e-4621-ab69-55dbb99ea989</t>
        </is>
      </c>
      <c r="B169" s="12" t="inlineStr">
        <is>
          <t>Bind</t>
        </is>
      </c>
      <c r="C169" s="12" t="inlineStr">
        <is>
          <t>Enterprise Esports</t>
        </is>
      </c>
      <c r="D169" s="12" t="inlineStr">
        <is>
          <t>FUT</t>
        </is>
      </c>
      <c r="E169" s="12" t="inlineStr">
        <is>
          <t>Brimstone,Fade,Raze,Viper,Yoru</t>
        </is>
      </c>
      <c r="F169" s="12" t="inlineStr">
        <is>
          <t>Brimstone,Fade,Viper,Waylay,Yoru</t>
        </is>
      </c>
      <c r="G169" s="12" t="n">
        <v>13</v>
      </c>
      <c r="H169" s="12" t="n">
        <v>9</v>
      </c>
      <c r="I169" s="12" t="n">
        <v>5</v>
      </c>
      <c r="J169" s="12" t="n">
        <v>7</v>
      </c>
      <c r="K169" s="12" t="n">
        <v>1</v>
      </c>
      <c r="L169" s="12" t="n">
        <v>1</v>
      </c>
      <c r="M169" s="12" t="n">
        <v>8</v>
      </c>
      <c r="N169" s="12" t="n">
        <v>2</v>
      </c>
      <c r="O169" s="12" t="n">
        <v>5</v>
      </c>
      <c r="P169" s="12" t="n">
        <v>7</v>
      </c>
      <c r="Q169" s="12" t="inlineStr">
        <is>
          <t>2026-02-25</t>
        </is>
      </c>
      <c r="R169" s="12" t="inlineStr">
        <is>
          <t>Enterprise Esports</t>
        </is>
      </c>
      <c r="S169" s="12" t="inlineStr">
        <is>
          <t>Bind_Brimstone,Fade,Raze,Viper,Yoru</t>
        </is>
      </c>
    </row>
    <row r="170">
      <c r="A170" s="8" t="inlineStr">
        <is>
          <t>fdb6657a-cf2a-415c-9134-14e10f228ef0</t>
        </is>
      </c>
      <c r="B170" s="8" t="inlineStr">
        <is>
          <t>Split</t>
        </is>
      </c>
      <c r="C170" s="8" t="inlineStr">
        <is>
          <t>Enterprise Esports</t>
        </is>
      </c>
      <c r="D170" s="8" t="inlineStr">
        <is>
          <t>FUT</t>
        </is>
      </c>
      <c r="E170" s="8" t="inlineStr">
        <is>
          <t>Omen,Tejo,Viper,Waylay,Yoru</t>
        </is>
      </c>
      <c r="F170" s="8" t="inlineStr">
        <is>
          <t>Astra,Fade,Viper,Waylay,Yoru</t>
        </is>
      </c>
      <c r="G170" s="8" t="n">
        <v>13</v>
      </c>
      <c r="H170" s="8" t="n">
        <v>5</v>
      </c>
      <c r="I170" s="8" t="n">
        <v>7</v>
      </c>
      <c r="J170" s="8" t="n">
        <v>5</v>
      </c>
      <c r="K170" s="8" t="n">
        <v>1</v>
      </c>
      <c r="L170" s="8" t="n">
        <v>0</v>
      </c>
      <c r="M170" s="8" t="n">
        <v>6</v>
      </c>
      <c r="N170" s="8" t="n">
        <v>0</v>
      </c>
      <c r="O170" s="8" t="n">
        <v>7</v>
      </c>
      <c r="P170" s="8" t="n">
        <v>5</v>
      </c>
      <c r="Q170" s="8" t="inlineStr">
        <is>
          <t>2026-02-25</t>
        </is>
      </c>
      <c r="R170" s="8" t="inlineStr">
        <is>
          <t>Enterprise Esports</t>
        </is>
      </c>
      <c r="S170" s="8" t="inlineStr">
        <is>
          <t>Split_Omen,Tejo,Viper,Waylay,Yoru</t>
        </is>
      </c>
    </row>
    <row r="171">
      <c r="A171" s="12" t="inlineStr">
        <is>
          <t>5d681ce3-2bb3-4e12-a933-a83e29de97c5</t>
        </is>
      </c>
      <c r="B171" s="12" t="inlineStr">
        <is>
          <t>Pearl</t>
        </is>
      </c>
      <c r="C171" s="12" t="inlineStr">
        <is>
          <t>Enterprise Esports</t>
        </is>
      </c>
      <c r="D171" s="12" t="inlineStr">
        <is>
          <t>GX</t>
        </is>
      </c>
      <c r="E171" s="12" t="inlineStr">
        <is>
          <t>Astra,Fade,Killjoy,Tejo,Yoru</t>
        </is>
      </c>
      <c r="F171" s="12" t="inlineStr">
        <is>
          <t>Astra,Killjoy,Neon,Sova,Yoru</t>
        </is>
      </c>
      <c r="G171" s="12" t="n">
        <v>13</v>
      </c>
      <c r="H171" s="12" t="n">
        <v>1</v>
      </c>
      <c r="I171" s="12" t="n">
        <v>11</v>
      </c>
      <c r="J171" s="12" t="n">
        <v>1</v>
      </c>
      <c r="K171" s="12" t="n">
        <v>1</v>
      </c>
      <c r="L171" s="12" t="n">
        <v>1</v>
      </c>
      <c r="M171" s="12" t="n">
        <v>2</v>
      </c>
      <c r="N171" s="12" t="n">
        <v>0</v>
      </c>
      <c r="O171" s="12" t="n">
        <v>11</v>
      </c>
      <c r="P171" s="12" t="n">
        <v>1</v>
      </c>
      <c r="Q171" s="12" t="inlineStr">
        <is>
          <t>2026-02-24</t>
        </is>
      </c>
      <c r="R171" s="12" t="inlineStr">
        <is>
          <t>Enterprise Esports</t>
        </is>
      </c>
      <c r="S171" s="12" t="inlineStr">
        <is>
          <t>Pearl_Astra,Fade,Killjoy,Tejo,Yoru</t>
        </is>
      </c>
    </row>
    <row r="172">
      <c r="A172" s="8" t="inlineStr">
        <is>
          <t>70af653a-bfd8-42a2-8af8-39a866c73d16</t>
        </is>
      </c>
      <c r="B172" s="8" t="inlineStr">
        <is>
          <t>Split</t>
        </is>
      </c>
      <c r="C172" s="8" t="inlineStr">
        <is>
          <t>Enterprise Esports</t>
        </is>
      </c>
      <c r="D172" s="8" t="inlineStr">
        <is>
          <t>GX</t>
        </is>
      </c>
      <c r="E172" s="8" t="inlineStr">
        <is>
          <t>Omen,Tejo,Viper,Waylay,Yoru</t>
        </is>
      </c>
      <c r="F172" s="8" t="inlineStr">
        <is>
          <t>Fade,Omen,Raze,Viper,Yoru</t>
        </is>
      </c>
      <c r="G172" s="8" t="n">
        <v>13</v>
      </c>
      <c r="H172" s="8" t="n">
        <v>2</v>
      </c>
      <c r="I172" s="8" t="n">
        <v>10</v>
      </c>
      <c r="J172" s="8" t="n">
        <v>2</v>
      </c>
      <c r="K172" s="8" t="n">
        <v>1</v>
      </c>
      <c r="L172" s="8" t="n">
        <v>0</v>
      </c>
      <c r="M172" s="8" t="n">
        <v>3</v>
      </c>
      <c r="N172" s="8" t="n">
        <v>0</v>
      </c>
      <c r="O172" s="8" t="n">
        <v>10</v>
      </c>
      <c r="P172" s="8" t="n">
        <v>2</v>
      </c>
      <c r="Q172" s="8" t="inlineStr">
        <is>
          <t>2026-02-24</t>
        </is>
      </c>
      <c r="R172" s="8" t="inlineStr">
        <is>
          <t>Enterprise Esports</t>
        </is>
      </c>
      <c r="S172" s="8" t="inlineStr">
        <is>
          <t>Split_Omen,Tejo,Viper,Waylay,Yoru</t>
        </is>
      </c>
    </row>
    <row r="173">
      <c r="A173" s="12" t="inlineStr">
        <is>
          <t>d109e730-067a-4824-a747-d619a623d41c</t>
        </is>
      </c>
      <c r="B173" s="12" t="inlineStr">
        <is>
          <t>Haven</t>
        </is>
      </c>
      <c r="C173" s="12" t="inlineStr">
        <is>
          <t>Enterprise Esports</t>
        </is>
      </c>
      <c r="D173" s="12" t="inlineStr">
        <is>
          <t>GX</t>
        </is>
      </c>
      <c r="E173" s="12" t="inlineStr">
        <is>
          <t>Cypher,Neon,Omen,Sova,Yoru</t>
        </is>
      </c>
      <c r="F173" s="12" t="inlineStr">
        <is>
          <t>Cypher,Neon,Omen,Sova,Yoru</t>
        </is>
      </c>
      <c r="G173" s="12" t="n">
        <v>6</v>
      </c>
      <c r="H173" s="12" t="n">
        <v>13</v>
      </c>
      <c r="I173" s="12" t="n">
        <v>4</v>
      </c>
      <c r="J173" s="12" t="n">
        <v>8</v>
      </c>
      <c r="K173" s="12" t="n">
        <v>0</v>
      </c>
      <c r="L173" s="12" t="n">
        <v>0</v>
      </c>
      <c r="M173" s="12" t="n">
        <v>4</v>
      </c>
      <c r="N173" s="12" t="n">
        <v>8</v>
      </c>
      <c r="O173" s="12" t="n">
        <v>2</v>
      </c>
      <c r="P173" s="12" t="n">
        <v>5</v>
      </c>
      <c r="Q173" s="12" t="inlineStr">
        <is>
          <t>2026-02-24</t>
        </is>
      </c>
      <c r="R173" s="12" t="inlineStr">
        <is>
          <t>GX</t>
        </is>
      </c>
      <c r="S173" s="12" t="inlineStr">
        <is>
          <t>Haven_Cypher,Neon,Omen,Sova,Yoru</t>
        </is>
      </c>
    </row>
    <row r="174">
      <c r="A174" s="8" t="inlineStr">
        <is>
          <t>f86646fc-7e94-4a21-ad9d-e8664fd5883b</t>
        </is>
      </c>
      <c r="B174" s="8" t="inlineStr">
        <is>
          <t>Haven</t>
        </is>
      </c>
      <c r="C174" s="8" t="inlineStr">
        <is>
          <t>Enterprise Esports</t>
        </is>
      </c>
      <c r="D174" s="8" t="inlineStr">
        <is>
          <t>JL</t>
        </is>
      </c>
      <c r="E174" s="8" t="inlineStr">
        <is>
          <t>Cypher,Neon,Omen,Sova,Yoru</t>
        </is>
      </c>
      <c r="F174" s="8" t="inlineStr">
        <is>
          <t>Brimstone,Cypher,Sova,Waylay,Yoru</t>
        </is>
      </c>
      <c r="G174" s="8" t="n">
        <v>13</v>
      </c>
      <c r="H174" s="8" t="n">
        <v>8</v>
      </c>
      <c r="I174" s="8" t="n">
        <v>4</v>
      </c>
      <c r="J174" s="8" t="n">
        <v>8</v>
      </c>
      <c r="K174" s="8" t="n">
        <v>1</v>
      </c>
      <c r="L174" s="8" t="n">
        <v>0</v>
      </c>
      <c r="M174" s="8" t="n">
        <v>9</v>
      </c>
      <c r="N174" s="8" t="n">
        <v>0</v>
      </c>
      <c r="O174" s="8" t="n">
        <v>4</v>
      </c>
      <c r="P174" s="8" t="n">
        <v>8</v>
      </c>
      <c r="Q174" s="8" t="inlineStr">
        <is>
          <t>2026-02-22</t>
        </is>
      </c>
      <c r="R174" s="8" t="inlineStr">
        <is>
          <t>Enterprise Esports</t>
        </is>
      </c>
      <c r="S174" s="8" t="inlineStr">
        <is>
          <t>Haven_Cypher,Neon,Omen,Sova,Yoru</t>
        </is>
      </c>
    </row>
    <row r="175">
      <c r="A175" s="12" t="inlineStr">
        <is>
          <t>633eaca3-a0b3-4633-ada0-93cc3592243d</t>
        </is>
      </c>
      <c r="B175" s="12" t="inlineStr">
        <is>
          <t>Pearl</t>
        </is>
      </c>
      <c r="C175" s="12" t="inlineStr">
        <is>
          <t>Enterprise Esports</t>
        </is>
      </c>
      <c r="D175" s="12" t="inlineStr">
        <is>
          <t>JL</t>
        </is>
      </c>
      <c r="E175" s="12" t="inlineStr">
        <is>
          <t>Astra,Fade,Killjoy,Tejo,Yoru</t>
        </is>
      </c>
      <c r="F175" s="12" t="inlineStr">
        <is>
          <t>Astra,Cypher,Neon,Sova,Yoru</t>
        </is>
      </c>
      <c r="G175" s="12" t="n">
        <v>13</v>
      </c>
      <c r="H175" s="12" t="n">
        <v>9</v>
      </c>
      <c r="I175" s="12" t="n">
        <v>7</v>
      </c>
      <c r="J175" s="12" t="n">
        <v>5</v>
      </c>
      <c r="K175" s="12" t="n">
        <v>1</v>
      </c>
      <c r="L175" s="12" t="n">
        <v>0</v>
      </c>
      <c r="M175" s="12" t="n">
        <v>7</v>
      </c>
      <c r="N175" s="12" t="n">
        <v>5</v>
      </c>
      <c r="O175" s="12" t="n">
        <v>6</v>
      </c>
      <c r="P175" s="12" t="n">
        <v>4</v>
      </c>
      <c r="Q175" s="12" t="inlineStr">
        <is>
          <t>2026-02-22</t>
        </is>
      </c>
      <c r="R175" s="12" t="inlineStr">
        <is>
          <t>Enterprise Esports</t>
        </is>
      </c>
      <c r="S175" s="12" t="inlineStr">
        <is>
          <t>Pearl_Astra,Fade,Killjoy,Tejo,Yoru</t>
        </is>
      </c>
    </row>
    <row r="176">
      <c r="A176" s="8" t="inlineStr">
        <is>
          <t>08e18679-279a-44b5-b199-765c32438b41</t>
        </is>
      </c>
      <c r="B176" s="8" t="inlineStr">
        <is>
          <t>Pearl</t>
        </is>
      </c>
      <c r="C176" s="8" t="inlineStr">
        <is>
          <t>Enterprise Esports</t>
        </is>
      </c>
      <c r="D176" s="8" t="inlineStr">
        <is>
          <t>KC</t>
        </is>
      </c>
      <c r="E176" s="8" t="inlineStr">
        <is>
          <t>Astra,Fade,Killjoy,Tejo,Yoru</t>
        </is>
      </c>
      <c r="F176" s="8" t="inlineStr">
        <is>
          <t>Astra,Fade,Neon,Veto,Yoru</t>
        </is>
      </c>
      <c r="G176" s="8" t="n">
        <v>13</v>
      </c>
      <c r="H176" s="8" t="n">
        <v>3</v>
      </c>
      <c r="I176" s="8" t="n">
        <v>10</v>
      </c>
      <c r="J176" s="8" t="n">
        <v>2</v>
      </c>
      <c r="K176" s="8" t="n">
        <v>1</v>
      </c>
      <c r="L176" s="8" t="n">
        <v>1</v>
      </c>
      <c r="M176" s="8" t="n">
        <v>10</v>
      </c>
      <c r="N176" s="8" t="n">
        <v>2</v>
      </c>
      <c r="O176" s="8" t="n">
        <v>3</v>
      </c>
      <c r="P176" s="8" t="n">
        <v>1</v>
      </c>
      <c r="Q176" s="8" t="inlineStr">
        <is>
          <t>2026-02-21</t>
        </is>
      </c>
      <c r="R176" s="8" t="inlineStr">
        <is>
          <t>Enterprise Esports</t>
        </is>
      </c>
      <c r="S176" s="8" t="inlineStr">
        <is>
          <t>Pearl_Astra,Fade,Killjoy,Tejo,Yoru</t>
        </is>
      </c>
    </row>
    <row r="177">
      <c r="A177" s="12" t="inlineStr">
        <is>
          <t>0235ea99-e7f4-43fd-a95a-3dab48a2d614</t>
        </is>
      </c>
      <c r="B177" s="12" t="inlineStr">
        <is>
          <t>Bind</t>
        </is>
      </c>
      <c r="C177" s="12" t="inlineStr">
        <is>
          <t>Enterprise Esports</t>
        </is>
      </c>
      <c r="D177" s="12" t="inlineStr">
        <is>
          <t>KC</t>
        </is>
      </c>
      <c r="E177" s="12" t="inlineStr">
        <is>
          <t>Brimstone,Fade,Raze,Viper,Yoru</t>
        </is>
      </c>
      <c r="F177" s="12" t="inlineStr">
        <is>
          <t>Brimstone,Fade,Raze,Viper,Yoru</t>
        </is>
      </c>
      <c r="G177" s="12" t="n">
        <v>13</v>
      </c>
      <c r="H177" s="12" t="n">
        <v>11</v>
      </c>
      <c r="I177" s="12" t="n">
        <v>8</v>
      </c>
      <c r="J177" s="12" t="n">
        <v>4</v>
      </c>
      <c r="K177" s="12" t="n">
        <v>0</v>
      </c>
      <c r="L177" s="12" t="n">
        <v>1</v>
      </c>
      <c r="M177" s="12" t="n">
        <v>5</v>
      </c>
      <c r="N177" s="12" t="n">
        <v>7</v>
      </c>
      <c r="O177" s="12" t="n">
        <v>8</v>
      </c>
      <c r="P177" s="12" t="n">
        <v>4</v>
      </c>
      <c r="Q177" s="12" t="inlineStr">
        <is>
          <t>2026-02-21</t>
        </is>
      </c>
      <c r="R177" s="12" t="inlineStr">
        <is>
          <t>Enterprise Esports</t>
        </is>
      </c>
      <c r="S177" s="12" t="inlineStr">
        <is>
          <t>Bind_Brimstone,Fade,Raze,Viper,Yoru</t>
        </is>
      </c>
    </row>
    <row r="178">
      <c r="A178" s="8" t="inlineStr">
        <is>
          <t>eeb600ff-948b-4463-b4b0-87a24b8c50e8</t>
        </is>
      </c>
      <c r="B178" s="8" t="inlineStr">
        <is>
          <t>Bind</t>
        </is>
      </c>
      <c r="C178" s="8" t="inlineStr">
        <is>
          <t>Enterprise Esports</t>
        </is>
      </c>
      <c r="D178" s="8" t="inlineStr">
        <is>
          <t>STS</t>
        </is>
      </c>
      <c r="E178" s="8" t="inlineStr">
        <is>
          <t>Brimstone,Fade,Raze,Viper,Yoru</t>
        </is>
      </c>
      <c r="F178" s="8" t="inlineStr">
        <is>
          <t>Brimstone,Fade,Raze,Viper,Yoru</t>
        </is>
      </c>
      <c r="G178" s="8" t="n">
        <v>14</v>
      </c>
      <c r="H178" s="8" t="n">
        <v>16</v>
      </c>
      <c r="I178" s="8" t="n">
        <v>3</v>
      </c>
      <c r="J178" s="8" t="n">
        <v>9</v>
      </c>
      <c r="K178" s="8" t="n">
        <v>1</v>
      </c>
      <c r="L178" s="8" t="n">
        <v>0</v>
      </c>
      <c r="M178" s="8" t="n">
        <v>11</v>
      </c>
      <c r="N178" s="8" t="n">
        <v>4</v>
      </c>
      <c r="O178" s="8" t="n">
        <v>3</v>
      </c>
      <c r="P178" s="8" t="n">
        <v>12</v>
      </c>
      <c r="Q178" s="8" t="inlineStr">
        <is>
          <t>2026-02-19</t>
        </is>
      </c>
      <c r="R178" s="8" t="inlineStr">
        <is>
          <t>STS</t>
        </is>
      </c>
      <c r="S178" s="8" t="inlineStr">
        <is>
          <t>Bind_Brimstone,Fade,Raze,Viper,Yoru</t>
        </is>
      </c>
    </row>
    <row r="179">
      <c r="A179" s="12" t="inlineStr">
        <is>
          <t>e282b443-1e6f-4d05-8ec8-7b7233447e22</t>
        </is>
      </c>
      <c r="B179" s="12" t="inlineStr">
        <is>
          <t>Split</t>
        </is>
      </c>
      <c r="C179" s="12" t="inlineStr">
        <is>
          <t>Enterprise Esports</t>
        </is>
      </c>
      <c r="D179" s="12" t="inlineStr">
        <is>
          <t>STS</t>
        </is>
      </c>
      <c r="E179" s="12" t="inlineStr">
        <is>
          <t>Omen,Tejo,Viper,Waylay,Yoru</t>
        </is>
      </c>
      <c r="F179" s="12" t="inlineStr">
        <is>
          <t>Fade,Omen,Raze,Viper,Yoru</t>
        </is>
      </c>
      <c r="G179" s="12" t="n">
        <v>11</v>
      </c>
      <c r="H179" s="12" t="n">
        <v>13</v>
      </c>
      <c r="I179" s="12" t="n">
        <v>7</v>
      </c>
      <c r="J179" s="12" t="n">
        <v>5</v>
      </c>
      <c r="K179" s="12" t="n">
        <v>1</v>
      </c>
      <c r="L179" s="12" t="n">
        <v>1</v>
      </c>
      <c r="M179" s="12" t="n">
        <v>4</v>
      </c>
      <c r="N179" s="12" t="n">
        <v>8</v>
      </c>
      <c r="O179" s="12" t="n">
        <v>7</v>
      </c>
      <c r="P179" s="12" t="n">
        <v>5</v>
      </c>
      <c r="Q179" s="12" t="inlineStr">
        <is>
          <t>2026-02-19</t>
        </is>
      </c>
      <c r="R179" s="12" t="inlineStr">
        <is>
          <t>STS</t>
        </is>
      </c>
      <c r="S179" s="12" t="inlineStr">
        <is>
          <t>Split_Omen,Tejo,Viper,Waylay,Yoru</t>
        </is>
      </c>
    </row>
    <row r="180">
      <c r="A180" s="8" t="inlineStr">
        <is>
          <t>cabe37fe-13ac-40a2-8747-5ab113274a9a</t>
        </is>
      </c>
      <c r="B180" s="8" t="inlineStr">
        <is>
          <t>Corrode</t>
        </is>
      </c>
      <c r="C180" s="8" t="inlineStr">
        <is>
          <t>Enterprise Esports</t>
        </is>
      </c>
      <c r="D180" s="8" t="inlineStr">
        <is>
          <t>STS</t>
        </is>
      </c>
      <c r="E180" s="8" t="inlineStr">
        <is>
          <t>Fade,KAY/O,Neon,Omen,Viper</t>
        </is>
      </c>
      <c r="F180" s="8" t="inlineStr">
        <is>
          <t>Fade,Omen,Vyse,Waylay,Yoru</t>
        </is>
      </c>
      <c r="G180" s="8" t="n">
        <v>14</v>
      </c>
      <c r="H180" s="8" t="n">
        <v>12</v>
      </c>
      <c r="I180" s="8" t="n">
        <v>6</v>
      </c>
      <c r="J180" s="8" t="n">
        <v>6</v>
      </c>
      <c r="K180" s="8" t="n">
        <v>0</v>
      </c>
      <c r="L180" s="8" t="n">
        <v>1</v>
      </c>
      <c r="M180" s="8" t="n">
        <v>7</v>
      </c>
      <c r="N180" s="8" t="n">
        <v>6</v>
      </c>
      <c r="O180" s="8" t="n">
        <v>7</v>
      </c>
      <c r="P180" s="8" t="n">
        <v>6</v>
      </c>
      <c r="Q180" s="8" t="inlineStr">
        <is>
          <t>2026-02-19</t>
        </is>
      </c>
      <c r="R180" s="8" t="inlineStr">
        <is>
          <t>Enterprise Esports</t>
        </is>
      </c>
      <c r="S180" s="8" t="inlineStr">
        <is>
          <t>Corrode_Fade,KAY/O,Neon,Omen,Viper</t>
        </is>
      </c>
    </row>
    <row r="181">
      <c r="A181" s="12" t="inlineStr">
        <is>
          <t>9d416176-3c80-4667-b384-a158adbecf37</t>
        </is>
      </c>
      <c r="B181" s="12" t="inlineStr">
        <is>
          <t>Corrode</t>
        </is>
      </c>
      <c r="C181" s="12" t="inlineStr">
        <is>
          <t>Enterprise Esports</t>
        </is>
      </c>
      <c r="D181" s="12" t="inlineStr">
        <is>
          <t>VR2</t>
        </is>
      </c>
      <c r="E181" s="12" t="inlineStr">
        <is>
          <t>Fade,KAY/O,Neon,Omen,Viper</t>
        </is>
      </c>
      <c r="F181" s="12" t="inlineStr">
        <is>
          <t>Chamber,Fade,Omen,Waylay,Yoru</t>
        </is>
      </c>
      <c r="G181" s="12" t="n">
        <v>13</v>
      </c>
      <c r="H181" s="12" t="n">
        <v>6</v>
      </c>
      <c r="I181" s="12" t="n">
        <v>11</v>
      </c>
      <c r="J181" s="12" t="n">
        <v>1</v>
      </c>
      <c r="K181" s="12" t="n">
        <v>1</v>
      </c>
      <c r="L181" s="12" t="n">
        <v>0</v>
      </c>
      <c r="M181" s="12" t="n">
        <v>11</v>
      </c>
      <c r="N181" s="12" t="n">
        <v>1</v>
      </c>
      <c r="O181" s="12" t="n">
        <v>2</v>
      </c>
      <c r="P181" s="12" t="n">
        <v>5</v>
      </c>
      <c r="Q181" s="12" t="inlineStr">
        <is>
          <t>2026-02-18</t>
        </is>
      </c>
      <c r="R181" s="12" t="inlineStr">
        <is>
          <t>Enterprise Esports</t>
        </is>
      </c>
      <c r="S181" s="12" t="inlineStr">
        <is>
          <t>Corrode_Fade,KAY/O,Neon,Omen,Viper</t>
        </is>
      </c>
    </row>
    <row r="182">
      <c r="A182" s="8" t="inlineStr">
        <is>
          <t>fb97ad1e-9b4f-41a3-9f92-7a60a2cd0e86</t>
        </is>
      </c>
      <c r="B182" s="8" t="inlineStr">
        <is>
          <t>Bind</t>
        </is>
      </c>
      <c r="C182" s="8" t="inlineStr">
        <is>
          <t>Enterprise Esports</t>
        </is>
      </c>
      <c r="D182" s="8" t="inlineStr">
        <is>
          <t>VR2</t>
        </is>
      </c>
      <c r="E182" s="8" t="inlineStr">
        <is>
          <t>Brimstone,Fade,Raze,Viper,Yoru</t>
        </is>
      </c>
      <c r="F182" s="8" t="inlineStr">
        <is>
          <t>Brimstone,Fade,Viper,Waylay,Yoru</t>
        </is>
      </c>
      <c r="G182" s="8" t="n">
        <v>13</v>
      </c>
      <c r="H182" s="8" t="n">
        <v>3</v>
      </c>
      <c r="I182" s="8" t="n">
        <v>9</v>
      </c>
      <c r="J182" s="8" t="n">
        <v>3</v>
      </c>
      <c r="K182" s="8" t="n">
        <v>1</v>
      </c>
      <c r="L182" s="8" t="n">
        <v>1</v>
      </c>
      <c r="M182" s="8" t="n">
        <v>4</v>
      </c>
      <c r="N182" s="8" t="n">
        <v>0</v>
      </c>
      <c r="O182" s="8" t="n">
        <v>9</v>
      </c>
      <c r="P182" s="8" t="n">
        <v>3</v>
      </c>
      <c r="Q182" s="8" t="inlineStr">
        <is>
          <t>2026-02-18</t>
        </is>
      </c>
      <c r="R182" s="8" t="inlineStr">
        <is>
          <t>Enterprise Esports</t>
        </is>
      </c>
      <c r="S182" s="8" t="inlineStr">
        <is>
          <t>Bind_Brimstone,Fade,Raze,Viper,Yoru</t>
        </is>
      </c>
    </row>
    <row r="183">
      <c r="A183" s="12" t="inlineStr">
        <is>
          <t>776fe13d-83ee-4a7f-b498-3df04f09b538</t>
        </is>
      </c>
      <c r="B183" s="12" t="inlineStr">
        <is>
          <t>Haven</t>
        </is>
      </c>
      <c r="C183" s="12" t="inlineStr">
        <is>
          <t>Team Liquid Academy</t>
        </is>
      </c>
      <c r="D183" s="12" t="inlineStr">
        <is>
          <t>EP</t>
        </is>
      </c>
      <c r="E183" s="12" t="inlineStr">
        <is>
          <t>Cypher,Neon,Omen,Sova,Yoru</t>
        </is>
      </c>
      <c r="F183" s="12" t="inlineStr">
        <is>
          <t>Cypher,Neon,Omen,Sova,Yoru</t>
        </is>
      </c>
      <c r="G183" s="12" t="n">
        <v>9</v>
      </c>
      <c r="H183" s="12" t="n">
        <v>13</v>
      </c>
      <c r="I183" s="12" t="n">
        <v>4</v>
      </c>
      <c r="J183" s="12" t="n">
        <v>8</v>
      </c>
      <c r="K183" s="12" t="n">
        <v>1</v>
      </c>
      <c r="L183" s="12" t="n">
        <v>0</v>
      </c>
      <c r="M183" s="12" t="n">
        <v>5</v>
      </c>
      <c r="N183" s="12" t="n">
        <v>5</v>
      </c>
      <c r="O183" s="12" t="n">
        <v>4</v>
      </c>
      <c r="P183" s="12" t="n">
        <v>8</v>
      </c>
      <c r="Q183" s="12" t="inlineStr">
        <is>
          <t>2026-03-08</t>
        </is>
      </c>
      <c r="R183" s="12" t="inlineStr">
        <is>
          <t>EP</t>
        </is>
      </c>
      <c r="S183" s="12" t="inlineStr">
        <is>
          <t>Haven_Cypher,Neon,Omen,Sova,Yoru</t>
        </is>
      </c>
    </row>
    <row r="184">
      <c r="A184" s="8" t="inlineStr">
        <is>
          <t>ce66cb90-2779-4f57-a49e-c05fd4cdeac1</t>
        </is>
      </c>
      <c r="B184" s="8" t="inlineStr">
        <is>
          <t>Corrode</t>
        </is>
      </c>
      <c r="C184" s="8" t="inlineStr">
        <is>
          <t>Team Liquid Academy</t>
        </is>
      </c>
      <c r="D184" s="8" t="inlineStr">
        <is>
          <t>EP</t>
        </is>
      </c>
      <c r="E184" s="8" t="inlineStr">
        <is>
          <t>Fade,Neon,Omen,Vyse,Yoru</t>
        </is>
      </c>
      <c r="F184" s="8" t="inlineStr">
        <is>
          <t>Fade,KAY/O,Omen,Viper,Waylay</t>
        </is>
      </c>
      <c r="G184" s="8" t="n">
        <v>12</v>
      </c>
      <c r="H184" s="8" t="n">
        <v>14</v>
      </c>
      <c r="I184" s="8" t="n">
        <v>6</v>
      </c>
      <c r="J184" s="8" t="n">
        <v>6</v>
      </c>
      <c r="K184" s="8" t="n">
        <v>0</v>
      </c>
      <c r="L184" s="8" t="n">
        <v>1</v>
      </c>
      <c r="M184" s="8" t="n">
        <v>6</v>
      </c>
      <c r="N184" s="8" t="n">
        <v>7</v>
      </c>
      <c r="O184" s="8" t="n">
        <v>6</v>
      </c>
      <c r="P184" s="8" t="n">
        <v>7</v>
      </c>
      <c r="Q184" s="8" t="inlineStr">
        <is>
          <t>2026-03-08</t>
        </is>
      </c>
      <c r="R184" s="8" t="inlineStr">
        <is>
          <t>EP</t>
        </is>
      </c>
      <c r="S184" s="8" t="inlineStr">
        <is>
          <t>Corrode_Fade,Neon,Omen,Vyse,Yoru</t>
        </is>
      </c>
    </row>
    <row r="185">
      <c r="A185" s="12" t="inlineStr">
        <is>
          <t>8ccaa571-6d7a-4d77-b33a-7601f4c456ec</t>
        </is>
      </c>
      <c r="B185" s="12" t="inlineStr">
        <is>
          <t>Split</t>
        </is>
      </c>
      <c r="C185" s="12" t="inlineStr">
        <is>
          <t>Team Liquid Academy</t>
        </is>
      </c>
      <c r="D185" s="12" t="inlineStr">
        <is>
          <t>EP</t>
        </is>
      </c>
      <c r="E185" s="12" t="inlineStr">
        <is>
          <t>Fade,Omen,Raze,Viper,Yoru</t>
        </is>
      </c>
      <c r="F185" s="12" t="inlineStr">
        <is>
          <t>Omen,Tejo,Viper,Waylay,Yoru</t>
        </is>
      </c>
      <c r="G185" s="12" t="n">
        <v>4</v>
      </c>
      <c r="H185" s="12" t="n">
        <v>13</v>
      </c>
      <c r="I185" s="12" t="n">
        <v>2</v>
      </c>
      <c r="J185" s="12" t="n">
        <v>10</v>
      </c>
      <c r="K185" s="12" t="n">
        <v>1</v>
      </c>
      <c r="L185" s="12" t="n">
        <v>1</v>
      </c>
      <c r="M185" s="12" t="n">
        <v>2</v>
      </c>
      <c r="N185" s="12" t="n">
        <v>10</v>
      </c>
      <c r="O185" s="12" t="n">
        <v>2</v>
      </c>
      <c r="P185" s="12" t="n">
        <v>3</v>
      </c>
      <c r="Q185" s="12" t="inlineStr">
        <is>
          <t>2026-03-08</t>
        </is>
      </c>
      <c r="R185" s="12" t="inlineStr">
        <is>
          <t>EP</t>
        </is>
      </c>
      <c r="S185" s="12" t="inlineStr">
        <is>
          <t>Split_Fade,Omen,Raze,Viper,Yoru</t>
        </is>
      </c>
    </row>
    <row r="186">
      <c r="A186" s="8" t="inlineStr">
        <is>
          <t>2a6dfa85-e5b5-44a2-9f18-2c400159e50e</t>
        </is>
      </c>
      <c r="B186" s="8" t="inlineStr">
        <is>
          <t>Corrode</t>
        </is>
      </c>
      <c r="C186" s="8" t="inlineStr">
        <is>
          <t>Team Liquid Academy</t>
        </is>
      </c>
      <c r="D186" s="8" t="inlineStr">
        <is>
          <t>EP</t>
        </is>
      </c>
      <c r="E186" s="8" t="inlineStr">
        <is>
          <t>Fade,Neon,Omen,Vyse,Yoru</t>
        </is>
      </c>
      <c r="F186" s="8" t="inlineStr">
        <is>
          <t>Fade,KAY/O,Omen,Viper,Waylay</t>
        </is>
      </c>
      <c r="G186" s="8" t="n">
        <v>13</v>
      </c>
      <c r="H186" s="8" t="n">
        <v>9</v>
      </c>
      <c r="I186" s="8" t="n">
        <v>10</v>
      </c>
      <c r="J186" s="8" t="n">
        <v>2</v>
      </c>
      <c r="K186" s="8" t="n">
        <v>1</v>
      </c>
      <c r="L186" s="8" t="n">
        <v>0</v>
      </c>
      <c r="M186" s="8" t="n">
        <v>10</v>
      </c>
      <c r="N186" s="8" t="n">
        <v>2</v>
      </c>
      <c r="O186" s="8" t="n">
        <v>3</v>
      </c>
      <c r="P186" s="8" t="n">
        <v>7</v>
      </c>
      <c r="Q186" s="8" t="inlineStr">
        <is>
          <t>2026-03-06</t>
        </is>
      </c>
      <c r="R186" s="8" t="inlineStr">
        <is>
          <t>Team Liquid Academy</t>
        </is>
      </c>
      <c r="S186" s="8" t="inlineStr">
        <is>
          <t>Corrode_Fade,Neon,Omen,Vyse,Yoru</t>
        </is>
      </c>
    </row>
    <row r="187">
      <c r="A187" s="12" t="inlineStr">
        <is>
          <t>41b694e1-8ede-44b7-ba0c-6491c1bc124f</t>
        </is>
      </c>
      <c r="B187" s="12" t="inlineStr">
        <is>
          <t>Bind</t>
        </is>
      </c>
      <c r="C187" s="12" t="inlineStr">
        <is>
          <t>Team Liquid Academy</t>
        </is>
      </c>
      <c r="D187" s="12" t="inlineStr">
        <is>
          <t>EP</t>
        </is>
      </c>
      <c r="E187" s="12" t="inlineStr">
        <is>
          <t>Brimstone,Fade,Viper,Waylay,Yoru</t>
        </is>
      </c>
      <c r="F187" s="12" t="inlineStr">
        <is>
          <t>Brimstone,Fade,Raze,Viper,Yoru</t>
        </is>
      </c>
      <c r="G187" s="12" t="n">
        <v>13</v>
      </c>
      <c r="H187" s="12" t="n">
        <v>7</v>
      </c>
      <c r="I187" s="12" t="n">
        <v>9</v>
      </c>
      <c r="J187" s="12" t="n">
        <v>3</v>
      </c>
      <c r="K187" s="12" t="n">
        <v>0</v>
      </c>
      <c r="L187" s="12" t="n">
        <v>0</v>
      </c>
      <c r="M187" s="12" t="n">
        <v>4</v>
      </c>
      <c r="N187" s="12" t="n">
        <v>4</v>
      </c>
      <c r="O187" s="12" t="n">
        <v>9</v>
      </c>
      <c r="P187" s="12" t="n">
        <v>3</v>
      </c>
      <c r="Q187" s="12" t="inlineStr">
        <is>
          <t>2026-03-06</t>
        </is>
      </c>
      <c r="R187" s="12" t="inlineStr">
        <is>
          <t>Team Liquid Academy</t>
        </is>
      </c>
      <c r="S187" s="12" t="inlineStr">
        <is>
          <t>Bind_Brimstone,Fade,Viper,Waylay,Yoru</t>
        </is>
      </c>
    </row>
    <row r="188">
      <c r="A188" s="8" t="inlineStr">
        <is>
          <t>7fc6278c-7138-4817-90d4-713740bd3bf3</t>
        </is>
      </c>
      <c r="B188" s="8" t="inlineStr">
        <is>
          <t>Pearl</t>
        </is>
      </c>
      <c r="C188" s="8" t="inlineStr">
        <is>
          <t>Team Liquid Academy</t>
        </is>
      </c>
      <c r="D188" s="8" t="inlineStr">
        <is>
          <t>FMG</t>
        </is>
      </c>
      <c r="E188" s="8" t="inlineStr">
        <is>
          <t>Astra,Fade,Sage,Vyse,Yoru</t>
        </is>
      </c>
      <c r="F188" s="8" t="inlineStr">
        <is>
          <t>Astra,Cypher,Jett,Sova,Yoru</t>
        </is>
      </c>
      <c r="G188" s="8" t="n">
        <v>13</v>
      </c>
      <c r="H188" s="8" t="n">
        <v>7</v>
      </c>
      <c r="I188" s="8" t="n">
        <v>8</v>
      </c>
      <c r="J188" s="8" t="n">
        <v>4</v>
      </c>
      <c r="K188" s="8" t="n">
        <v>1</v>
      </c>
      <c r="L188" s="8" t="n">
        <v>1</v>
      </c>
      <c r="M188" s="8" t="n">
        <v>8</v>
      </c>
      <c r="N188" s="8" t="n">
        <v>4</v>
      </c>
      <c r="O188" s="8" t="n">
        <v>5</v>
      </c>
      <c r="P188" s="8" t="n">
        <v>3</v>
      </c>
      <c r="Q188" s="8" t="inlineStr">
        <is>
          <t>2026-03-02</t>
        </is>
      </c>
      <c r="R188" s="8" t="inlineStr">
        <is>
          <t>Team Liquid Academy</t>
        </is>
      </c>
      <c r="S188" s="8" t="inlineStr">
        <is>
          <t>Pearl_Astra,Fade,Sage,Vyse,Yoru</t>
        </is>
      </c>
    </row>
    <row r="189">
      <c r="A189" s="12" t="inlineStr">
        <is>
          <t>5ea5cf62-564d-460b-accd-b04fdccfeb09</t>
        </is>
      </c>
      <c r="B189" s="12" t="inlineStr">
        <is>
          <t>Haven</t>
        </is>
      </c>
      <c r="C189" s="12" t="inlineStr">
        <is>
          <t>Team Liquid Academy</t>
        </is>
      </c>
      <c r="D189" s="12" t="inlineStr">
        <is>
          <t>FMG</t>
        </is>
      </c>
      <c r="E189" s="12" t="inlineStr">
        <is>
          <t>Cypher,Neon,Omen,Sova,Yoru</t>
        </is>
      </c>
      <c r="F189" s="12" t="inlineStr">
        <is>
          <t>Cypher,Neon,Omen,Sova,Yoru</t>
        </is>
      </c>
      <c r="G189" s="12" t="n">
        <v>13</v>
      </c>
      <c r="H189" s="12" t="n">
        <v>8</v>
      </c>
      <c r="I189" s="12" t="n">
        <v>10</v>
      </c>
      <c r="J189" s="12" t="n">
        <v>2</v>
      </c>
      <c r="K189" s="12" t="n">
        <v>0</v>
      </c>
      <c r="L189" s="12" t="n">
        <v>0</v>
      </c>
      <c r="M189" s="12" t="n">
        <v>3</v>
      </c>
      <c r="N189" s="12" t="n">
        <v>6</v>
      </c>
      <c r="O189" s="12" t="n">
        <v>10</v>
      </c>
      <c r="P189" s="12" t="n">
        <v>2</v>
      </c>
      <c r="Q189" s="12" t="inlineStr">
        <is>
          <t>2026-03-02</t>
        </is>
      </c>
      <c r="R189" s="12" t="inlineStr">
        <is>
          <t>Team Liquid Academy</t>
        </is>
      </c>
      <c r="S189" s="12" t="inlineStr">
        <is>
          <t>Haven_Cypher,Neon,Omen,Sova,Yoru</t>
        </is>
      </c>
    </row>
    <row r="190">
      <c r="A190" s="8" t="inlineStr">
        <is>
          <t>898152dc-a064-47ff-90eb-866dc9e380b7</t>
        </is>
      </c>
      <c r="B190" s="8" t="inlineStr">
        <is>
          <t>Split</t>
        </is>
      </c>
      <c r="C190" s="8" t="inlineStr">
        <is>
          <t>Team Liquid Academy</t>
        </is>
      </c>
      <c r="D190" s="8" t="inlineStr">
        <is>
          <t>EVOP</t>
        </is>
      </c>
      <c r="E190" s="8" t="inlineStr">
        <is>
          <t>Fade,Omen,Raze,Viper,Yoru</t>
        </is>
      </c>
      <c r="F190" s="8" t="inlineStr">
        <is>
          <t>Fade,Omen,Raze,Viper,Yoru</t>
        </is>
      </c>
      <c r="G190" s="8" t="n">
        <v>13</v>
      </c>
      <c r="H190" s="8" t="n">
        <v>2</v>
      </c>
      <c r="I190" s="8" t="n">
        <v>10</v>
      </c>
      <c r="J190" s="8" t="n">
        <v>2</v>
      </c>
      <c r="K190" s="8" t="n">
        <v>1</v>
      </c>
      <c r="L190" s="8" t="n">
        <v>1</v>
      </c>
      <c r="M190" s="8" t="n">
        <v>10</v>
      </c>
      <c r="N190" s="8" t="n">
        <v>2</v>
      </c>
      <c r="O190" s="8" t="n">
        <v>3</v>
      </c>
      <c r="P190" s="8" t="n">
        <v>0</v>
      </c>
      <c r="Q190" s="8" t="inlineStr">
        <is>
          <t>2026-03-01</t>
        </is>
      </c>
      <c r="R190" s="8" t="inlineStr">
        <is>
          <t>Team Liquid Academy</t>
        </is>
      </c>
      <c r="S190" s="8" t="inlineStr">
        <is>
          <t>Split_Fade,Omen,Raze,Viper,Yoru</t>
        </is>
      </c>
    </row>
    <row r="191">
      <c r="A191" s="12" t="inlineStr">
        <is>
          <t>c0717bb4-eb1c-45ff-8b9c-b8a0688c3d81</t>
        </is>
      </c>
      <c r="B191" s="12" t="inlineStr">
        <is>
          <t>Corrode</t>
        </is>
      </c>
      <c r="C191" s="12" t="inlineStr">
        <is>
          <t>Team Liquid Academy</t>
        </is>
      </c>
      <c r="D191" s="12" t="inlineStr">
        <is>
          <t>EVOP</t>
        </is>
      </c>
      <c r="E191" s="12" t="inlineStr">
        <is>
          <t>Fade,Neon,Omen,Vyse,Yoru</t>
        </is>
      </c>
      <c r="F191" s="12" t="inlineStr">
        <is>
          <t>Chamber,Fade,Neon,Omen,Viper</t>
        </is>
      </c>
      <c r="G191" s="12" t="n">
        <v>13</v>
      </c>
      <c r="H191" s="12" t="n">
        <v>2</v>
      </c>
      <c r="I191" s="12" t="n">
        <v>10</v>
      </c>
      <c r="J191" s="12" t="n">
        <v>2</v>
      </c>
      <c r="K191" s="12" t="n">
        <v>1</v>
      </c>
      <c r="L191" s="12" t="n">
        <v>1</v>
      </c>
      <c r="M191" s="12" t="n">
        <v>10</v>
      </c>
      <c r="N191" s="12" t="n">
        <v>2</v>
      </c>
      <c r="O191" s="12" t="n">
        <v>3</v>
      </c>
      <c r="P191" s="12" t="n">
        <v>0</v>
      </c>
      <c r="Q191" s="12" t="inlineStr">
        <is>
          <t>2026-03-01</t>
        </is>
      </c>
      <c r="R191" s="12" t="inlineStr">
        <is>
          <t>Team Liquid Academy</t>
        </is>
      </c>
      <c r="S191" s="12" t="inlineStr">
        <is>
          <t>Corrode_Fade,Neon,Omen,Vyse,Yoru</t>
        </is>
      </c>
    </row>
    <row r="192">
      <c r="A192" s="8" t="inlineStr">
        <is>
          <t>34723d4e-fa52-40ef-98d0-ce803d039ca1</t>
        </is>
      </c>
      <c r="B192" s="8" t="inlineStr">
        <is>
          <t>Abyss</t>
        </is>
      </c>
      <c r="C192" s="8" t="inlineStr">
        <is>
          <t>Team Liquid Academy</t>
        </is>
      </c>
      <c r="D192" s="8" t="inlineStr">
        <is>
          <t>EVOP</t>
        </is>
      </c>
      <c r="E192" s="8" t="inlineStr">
        <is>
          <t>Astra,KAY/O,Omen,Tejo,Waylay</t>
        </is>
      </c>
      <c r="F192" s="8" t="inlineStr">
        <is>
          <t>Astra,Brimstone,Sova,Waylay,Yoru</t>
        </is>
      </c>
      <c r="G192" s="8" t="n">
        <v>9</v>
      </c>
      <c r="H192" s="8" t="n">
        <v>13</v>
      </c>
      <c r="I192" s="8" t="n">
        <v>3</v>
      </c>
      <c r="J192" s="8" t="n">
        <v>9</v>
      </c>
      <c r="K192" s="8" t="n">
        <v>0</v>
      </c>
      <c r="L192" s="8" t="n">
        <v>0</v>
      </c>
      <c r="M192" s="8" t="n">
        <v>6</v>
      </c>
      <c r="N192" s="8" t="n">
        <v>4</v>
      </c>
      <c r="O192" s="8" t="n">
        <v>3</v>
      </c>
      <c r="P192" s="8" t="n">
        <v>9</v>
      </c>
      <c r="Q192" s="8" t="inlineStr">
        <is>
          <t>2026-03-01</t>
        </is>
      </c>
      <c r="R192" s="8" t="inlineStr">
        <is>
          <t>EVOP</t>
        </is>
      </c>
      <c r="S192" s="8" t="inlineStr">
        <is>
          <t>Abyss_Astra,KAY/O,Omen,Tejo,Waylay</t>
        </is>
      </c>
    </row>
    <row r="193">
      <c r="A193" s="12" t="inlineStr">
        <is>
          <t>1a24593b-b41f-43d6-a1b9-8755ba4dae66</t>
        </is>
      </c>
      <c r="B193" s="12" t="inlineStr">
        <is>
          <t>Pearl</t>
        </is>
      </c>
      <c r="C193" s="12" t="inlineStr">
        <is>
          <t>Team Liquid Academy</t>
        </is>
      </c>
      <c r="D193" s="12" t="inlineStr">
        <is>
          <t>TLA</t>
        </is>
      </c>
      <c r="E193" s="12" t="inlineStr">
        <is>
          <t>Fade,Sage,Vyse,Yoru</t>
        </is>
      </c>
      <c r="F193" s="12" t="inlineStr">
        <is>
          <t>Astra,Astra,Killjoy,Neon,Sova,Yoru</t>
        </is>
      </c>
      <c r="G193" s="12" t="n">
        <v>14</v>
      </c>
      <c r="H193" s="12" t="n">
        <v>12</v>
      </c>
      <c r="I193" s="12" t="n">
        <v>5</v>
      </c>
      <c r="J193" s="12" t="n">
        <v>7</v>
      </c>
      <c r="K193" s="12" t="n">
        <v>0</v>
      </c>
      <c r="L193" s="12" t="n">
        <v>0</v>
      </c>
      <c r="M193" s="12" t="n">
        <v>6</v>
      </c>
      <c r="N193" s="12" t="n">
        <v>7</v>
      </c>
      <c r="O193" s="12" t="n">
        <v>8</v>
      </c>
      <c r="P193" s="12" t="n">
        <v>5</v>
      </c>
      <c r="Q193" s="12" t="inlineStr">
        <is>
          <t>2026-02-18</t>
        </is>
      </c>
      <c r="R193" s="12" t="inlineStr">
        <is>
          <t>Team Liquid Academy</t>
        </is>
      </c>
      <c r="S193" s="12" t="inlineStr">
        <is>
          <t>Pearl_Fade,Sage,Vyse,Yoru</t>
        </is>
      </c>
    </row>
    <row r="194">
      <c r="A194" s="8" t="inlineStr">
        <is>
          <t>cd1b7855-84cf-4bd7-a276-7fdc7da82645</t>
        </is>
      </c>
      <c r="B194" s="8" t="inlineStr">
        <is>
          <t>Corrode</t>
        </is>
      </c>
      <c r="C194" s="8" t="inlineStr">
        <is>
          <t>Team Liquid Academy</t>
        </is>
      </c>
      <c r="D194" s="8" t="inlineStr">
        <is>
          <t>CTRL</t>
        </is>
      </c>
      <c r="E194" s="8" t="inlineStr">
        <is>
          <t>Fade,Neon,Vyse,Yoru</t>
        </is>
      </c>
      <c r="F194" s="8" t="inlineStr">
        <is>
          <t>Astra,Chamber,Omen,Phoenix,Sova,Yoru</t>
        </is>
      </c>
      <c r="G194" s="8" t="n">
        <v>13</v>
      </c>
      <c r="H194" s="8" t="n">
        <v>5</v>
      </c>
      <c r="I194" s="8" t="n">
        <v>8</v>
      </c>
      <c r="J194" s="8" t="n">
        <v>4</v>
      </c>
      <c r="K194" s="8" t="n">
        <v>1</v>
      </c>
      <c r="L194" s="8" t="n">
        <v>0</v>
      </c>
      <c r="M194" s="8" t="n">
        <v>5</v>
      </c>
      <c r="N194" s="8" t="n">
        <v>1</v>
      </c>
      <c r="O194" s="8" t="n">
        <v>8</v>
      </c>
      <c r="P194" s="8" t="n">
        <v>4</v>
      </c>
      <c r="Q194" s="8" t="inlineStr">
        <is>
          <t>2026-02-18</t>
        </is>
      </c>
      <c r="R194" s="8" t="inlineStr">
        <is>
          <t>Team Liquid Academy</t>
        </is>
      </c>
      <c r="S194" s="8" t="inlineStr">
        <is>
          <t>Corrode_Fade,Neon,Vyse,Yoru</t>
        </is>
      </c>
    </row>
    <row r="195">
      <c r="A195" s="12" t="inlineStr">
        <is>
          <t>aa558b83-9a65-46e8-b587-0e2816fb1186</t>
        </is>
      </c>
      <c r="B195" s="12" t="inlineStr">
        <is>
          <t>Pearl</t>
        </is>
      </c>
      <c r="C195" s="12" t="inlineStr">
        <is>
          <t>Team Liquid Academy</t>
        </is>
      </c>
      <c r="D195" s="12" t="inlineStr">
        <is>
          <t>UNI</t>
        </is>
      </c>
      <c r="E195" s="12" t="inlineStr">
        <is>
          <t>Fade,Sage,Vyse,Yoru</t>
        </is>
      </c>
      <c r="F195" s="12" t="inlineStr">
        <is>
          <t>Astra,Astra,Fade,Killjoy,Neon,Phoenix</t>
        </is>
      </c>
      <c r="G195" s="12" t="n">
        <v>13</v>
      </c>
      <c r="H195" s="12" t="n">
        <v>0</v>
      </c>
      <c r="I195" s="12" t="n">
        <v>12</v>
      </c>
      <c r="J195" s="12" t="n">
        <v>0</v>
      </c>
      <c r="K195" s="12" t="n">
        <v>1</v>
      </c>
      <c r="L195" s="12" t="n">
        <v>1</v>
      </c>
      <c r="M195" s="12" t="n">
        <v>12</v>
      </c>
      <c r="N195" s="12" t="n">
        <v>0</v>
      </c>
      <c r="O195" s="12" t="n">
        <v>1</v>
      </c>
      <c r="P195" s="12" t="n">
        <v>0</v>
      </c>
      <c r="Q195" s="12" t="inlineStr">
        <is>
          <t>2026-02-15</t>
        </is>
      </c>
      <c r="R195" s="12" t="inlineStr">
        <is>
          <t>Team Liquid Academy</t>
        </is>
      </c>
      <c r="S195" s="12" t="inlineStr">
        <is>
          <t>Pearl_Fade,Sage,Vyse,Yoru</t>
        </is>
      </c>
    </row>
    <row r="196">
      <c r="A196" s="8" t="inlineStr">
        <is>
          <t>5a004aea-abfb-4f1b-afba-50a26a1dd81d</t>
        </is>
      </c>
      <c r="B196" s="8" t="inlineStr">
        <is>
          <t>Breeze</t>
        </is>
      </c>
      <c r="C196" s="8" t="inlineStr">
        <is>
          <t>Team Liquid Academy</t>
        </is>
      </c>
      <c r="D196" s="8" t="inlineStr">
        <is>
          <t>UNI</t>
        </is>
      </c>
      <c r="E196" s="8" t="inlineStr">
        <is>
          <t>Astra,Neon,Viper,Yoru</t>
        </is>
      </c>
      <c r="F196" s="8" t="inlineStr">
        <is>
          <t>Jett,Omen,Sova,Sova,Viper,Yoru</t>
        </is>
      </c>
      <c r="G196" s="8" t="n">
        <v>13</v>
      </c>
      <c r="H196" s="8" t="n">
        <v>9</v>
      </c>
      <c r="I196" s="8" t="n">
        <v>6</v>
      </c>
      <c r="J196" s="8" t="n">
        <v>6</v>
      </c>
      <c r="K196" s="8" t="n">
        <v>1</v>
      </c>
      <c r="L196" s="8" t="n">
        <v>0</v>
      </c>
      <c r="M196" s="8" t="n">
        <v>7</v>
      </c>
      <c r="N196" s="8" t="n">
        <v>3</v>
      </c>
      <c r="O196" s="8" t="n">
        <v>6</v>
      </c>
      <c r="P196" s="8" t="n">
        <v>6</v>
      </c>
      <c r="Q196" s="8" t="inlineStr">
        <is>
          <t>2026-02-15</t>
        </is>
      </c>
      <c r="R196" s="8" t="inlineStr">
        <is>
          <t>Team Liquid Academy</t>
        </is>
      </c>
      <c r="S196" s="8" t="inlineStr">
        <is>
          <t>Breeze_Astra,Neon,Viper,Yoru</t>
        </is>
      </c>
    </row>
    <row r="197">
      <c r="A197" s="12" t="inlineStr">
        <is>
          <t>a4b302f3-06be-4caa-b13f-3368dc8072f6</t>
        </is>
      </c>
      <c r="B197" s="12" t="inlineStr">
        <is>
          <t>Corrode</t>
        </is>
      </c>
      <c r="C197" s="12" t="inlineStr">
        <is>
          <t>Team Liquid Academy</t>
        </is>
      </c>
      <c r="D197" s="12" t="inlineStr">
        <is>
          <t>MIR</t>
        </is>
      </c>
      <c r="E197" s="12" t="inlineStr">
        <is>
          <t>Fade,Neon,Vyse,Yoru</t>
        </is>
      </c>
      <c r="F197" s="12" t="inlineStr">
        <is>
          <t>Chamber,Omen,Omen,Reyna,Sova,Yoru</t>
        </is>
      </c>
      <c r="G197" s="12" t="n">
        <v>13</v>
      </c>
      <c r="H197" s="12" t="n">
        <v>11</v>
      </c>
      <c r="I197" s="12" t="n">
        <v>4</v>
      </c>
      <c r="J197" s="12" t="n">
        <v>8</v>
      </c>
      <c r="K197" s="12" t="n">
        <v>1</v>
      </c>
      <c r="L197" s="12" t="n">
        <v>0</v>
      </c>
      <c r="M197" s="12" t="n">
        <v>9</v>
      </c>
      <c r="N197" s="12" t="n">
        <v>3</v>
      </c>
      <c r="O197" s="12" t="n">
        <v>4</v>
      </c>
      <c r="P197" s="12" t="n">
        <v>8</v>
      </c>
      <c r="Q197" s="12" t="inlineStr">
        <is>
          <t>2026-02-14</t>
        </is>
      </c>
      <c r="R197" s="12" t="inlineStr">
        <is>
          <t>Team Liquid Academy</t>
        </is>
      </c>
      <c r="S197" s="12" t="inlineStr">
        <is>
          <t>Corrode_Fade,Neon,Vyse,Yoru</t>
        </is>
      </c>
    </row>
    <row r="198">
      <c r="A198" s="8" t="inlineStr">
        <is>
          <t>88aae4d8-fa75-4efd-b740-50ee28a6bd65</t>
        </is>
      </c>
      <c r="B198" s="8" t="inlineStr">
        <is>
          <t>Haven</t>
        </is>
      </c>
      <c r="C198" s="8" t="inlineStr">
        <is>
          <t>Team Liquid Academy</t>
        </is>
      </c>
      <c r="D198" s="8" t="inlineStr">
        <is>
          <t>MIR</t>
        </is>
      </c>
      <c r="E198" s="8" t="inlineStr">
        <is>
          <t>Cypher,Neon,Sova,Yoru</t>
        </is>
      </c>
      <c r="F198" s="8" t="inlineStr">
        <is>
          <t>Cypher,Neon,Omen,Omen,Sova,Yoru</t>
        </is>
      </c>
      <c r="G198" s="8" t="n">
        <v>13</v>
      </c>
      <c r="H198" s="8" t="n">
        <v>3</v>
      </c>
      <c r="I198" s="8" t="n">
        <v>9</v>
      </c>
      <c r="J198" s="8" t="n">
        <v>3</v>
      </c>
      <c r="K198" s="8" t="n">
        <v>1</v>
      </c>
      <c r="L198" s="8" t="n">
        <v>1</v>
      </c>
      <c r="M198" s="8" t="n">
        <v>4</v>
      </c>
      <c r="N198" s="8" t="n">
        <v>0</v>
      </c>
      <c r="O198" s="8" t="n">
        <v>9</v>
      </c>
      <c r="P198" s="8" t="n">
        <v>3</v>
      </c>
      <c r="Q198" s="8" t="inlineStr">
        <is>
          <t>2026-02-14</t>
        </is>
      </c>
      <c r="R198" s="8" t="inlineStr">
        <is>
          <t>Team Liquid Academy</t>
        </is>
      </c>
      <c r="S198" s="8" t="inlineStr">
        <is>
          <t>Haven_Cypher,Neon,Sova,Yoru</t>
        </is>
      </c>
    </row>
    <row r="199">
      <c r="A199" s="12" t="inlineStr">
        <is>
          <t>7e082984-0bc6-44a1-9ffc-f0c817b5e9db</t>
        </is>
      </c>
      <c r="B199" s="12" t="inlineStr">
        <is>
          <t>Corrode</t>
        </is>
      </c>
      <c r="C199" s="12" t="inlineStr">
        <is>
          <t>Team Liquid Academy</t>
        </is>
      </c>
      <c r="D199" s="12" t="inlineStr">
        <is>
          <t>TLA</t>
        </is>
      </c>
      <c r="E199" s="12" t="inlineStr">
        <is>
          <t>Fade,Neon,Vyse,Yoru</t>
        </is>
      </c>
      <c r="F199" s="12" t="inlineStr">
        <is>
          <t>KAY/O,Omen,Omen,Sova,Viper,Waylay</t>
        </is>
      </c>
      <c r="G199" s="12" t="n">
        <v>13</v>
      </c>
      <c r="H199" s="12" t="n">
        <v>6</v>
      </c>
      <c r="I199" s="12" t="n">
        <v>8</v>
      </c>
      <c r="J199" s="12" t="n">
        <v>4</v>
      </c>
      <c r="K199" s="12" t="n">
        <v>1</v>
      </c>
      <c r="L199" s="12" t="n">
        <v>0</v>
      </c>
      <c r="M199" s="12" t="n">
        <v>5</v>
      </c>
      <c r="N199" s="12" t="n">
        <v>2</v>
      </c>
      <c r="O199" s="12" t="n">
        <v>8</v>
      </c>
      <c r="P199" s="12" t="n">
        <v>4</v>
      </c>
      <c r="Q199" s="12" t="inlineStr">
        <is>
          <t>2026-02-12</t>
        </is>
      </c>
      <c r="R199" s="12" t="inlineStr">
        <is>
          <t>Team Liquid Academy</t>
        </is>
      </c>
      <c r="S199" s="12" t="inlineStr">
        <is>
          <t>Corrode_Fade,Neon,Vyse,Yoru</t>
        </is>
      </c>
    </row>
    <row r="200">
      <c r="A200" s="8" t="inlineStr">
        <is>
          <t>57a3b2a4-6f05-4b44-87b7-cbd8e0a595a1</t>
        </is>
      </c>
      <c r="B200" s="8" t="inlineStr">
        <is>
          <t>Pearl</t>
        </is>
      </c>
      <c r="C200" s="8" t="inlineStr">
        <is>
          <t>Team Liquid Academy</t>
        </is>
      </c>
      <c r="D200" s="8" t="inlineStr">
        <is>
          <t>FRG</t>
        </is>
      </c>
      <c r="E200" s="8" t="inlineStr">
        <is>
          <t>Fade,Sage,Vyse,Yoru</t>
        </is>
      </c>
      <c r="F200" s="8" t="inlineStr">
        <is>
          <t>Astra,Fade,Killjoy,Omen,Viper,Yoru</t>
        </is>
      </c>
      <c r="G200" s="8" t="n">
        <v>13</v>
      </c>
      <c r="H200" s="8" t="n">
        <v>7</v>
      </c>
      <c r="I200" s="8" t="n">
        <v>8</v>
      </c>
      <c r="J200" s="8" t="n">
        <v>4</v>
      </c>
      <c r="K200" s="8" t="n">
        <v>0</v>
      </c>
      <c r="L200" s="8" t="n">
        <v>0</v>
      </c>
      <c r="M200" s="8" t="n">
        <v>5</v>
      </c>
      <c r="N200" s="8" t="n">
        <v>3</v>
      </c>
      <c r="O200" s="8" t="n">
        <v>8</v>
      </c>
      <c r="P200" s="8" t="n">
        <v>4</v>
      </c>
      <c r="Q200" s="8" t="inlineStr">
        <is>
          <t>2026-02-12</t>
        </is>
      </c>
      <c r="R200" s="8" t="inlineStr">
        <is>
          <t>Team Liquid Academy</t>
        </is>
      </c>
      <c r="S200" s="8" t="inlineStr">
        <is>
          <t>Pearl_Fade,Sage,Vyse,Yoru</t>
        </is>
      </c>
    </row>
    <row r="201">
      <c r="A201" s="12" t="inlineStr">
        <is>
          <t>333a9846-ceaf-48df-ae9b-ef9091885cae</t>
        </is>
      </c>
      <c r="B201" s="12" t="inlineStr">
        <is>
          <t>Pearl</t>
        </is>
      </c>
      <c r="C201" s="12" t="inlineStr">
        <is>
          <t>Team Liquid Academy</t>
        </is>
      </c>
      <c r="D201" s="12" t="inlineStr">
        <is>
          <t>BONK</t>
        </is>
      </c>
      <c r="E201" s="12" t="inlineStr">
        <is>
          <t>Fade,Sage,Vyse,Yoru</t>
        </is>
      </c>
      <c r="F201" s="12" t="inlineStr">
        <is>
          <t>Astra,Astra,Fade,Jett,KAY/O,Killjoy</t>
        </is>
      </c>
      <c r="G201" s="12" t="n">
        <v>13</v>
      </c>
      <c r="H201" s="12" t="n">
        <v>8</v>
      </c>
      <c r="I201" s="12" t="n">
        <v>6</v>
      </c>
      <c r="J201" s="12" t="n">
        <v>6</v>
      </c>
      <c r="K201" s="12" t="n">
        <v>1</v>
      </c>
      <c r="L201" s="12" t="n">
        <v>0</v>
      </c>
      <c r="M201" s="12" t="n">
        <v>7</v>
      </c>
      <c r="N201" s="12" t="n">
        <v>2</v>
      </c>
      <c r="O201" s="12" t="n">
        <v>6</v>
      </c>
      <c r="P201" s="12" t="n">
        <v>6</v>
      </c>
      <c r="Q201" s="12" t="inlineStr">
        <is>
          <t>2026-02-11</t>
        </is>
      </c>
      <c r="R201" s="12" t="inlineStr">
        <is>
          <t>Team Liquid Academy</t>
        </is>
      </c>
      <c r="S201" s="12" t="inlineStr">
        <is>
          <t>Pearl_Fade,Sage,Vyse,Yoru</t>
        </is>
      </c>
    </row>
    <row r="202">
      <c r="A202" s="8" t="inlineStr">
        <is>
          <t>8f72eeaa-342c-4424-95e4-0e6ad7436632</t>
        </is>
      </c>
      <c r="B202" s="8" t="inlineStr">
        <is>
          <t>Haven</t>
        </is>
      </c>
      <c r="C202" s="8" t="inlineStr">
        <is>
          <t>Team Liquid Academy</t>
        </is>
      </c>
      <c r="D202" s="8" t="inlineStr">
        <is>
          <t>BONK</t>
        </is>
      </c>
      <c r="E202" s="8" t="inlineStr">
        <is>
          <t>Cypher,Neon,Sova,Yoru</t>
        </is>
      </c>
      <c r="F202" s="8" t="inlineStr">
        <is>
          <t>Killjoy,Neon,Omen,Omen,Sova,Yoru</t>
        </is>
      </c>
      <c r="G202" s="8" t="n">
        <v>13</v>
      </c>
      <c r="H202" s="8" t="n">
        <v>4</v>
      </c>
      <c r="I202" s="8" t="n">
        <v>10</v>
      </c>
      <c r="J202" s="8" t="n">
        <v>2</v>
      </c>
      <c r="K202" s="8" t="n">
        <v>1</v>
      </c>
      <c r="L202" s="8" t="n">
        <v>1</v>
      </c>
      <c r="M202" s="8" t="n">
        <v>10</v>
      </c>
      <c r="N202" s="8" t="n">
        <v>2</v>
      </c>
      <c r="O202" s="8" t="n">
        <v>3</v>
      </c>
      <c r="P202" s="8" t="n">
        <v>2</v>
      </c>
      <c r="Q202" s="8" t="inlineStr">
        <is>
          <t>2026-02-11</t>
        </is>
      </c>
      <c r="R202" s="8" t="inlineStr">
        <is>
          <t>Team Liquid Academy</t>
        </is>
      </c>
      <c r="S202" s="8" t="inlineStr">
        <is>
          <t>Haven_Cypher,Neon,Sova,Yoru</t>
        </is>
      </c>
    </row>
    <row r="203">
      <c r="A203" s="12" t="inlineStr">
        <is>
          <t>979a7952-f8f3-4ea1-8d97-a4ee90e5c118</t>
        </is>
      </c>
      <c r="B203" s="12" t="inlineStr">
        <is>
          <t>Corrode</t>
        </is>
      </c>
      <c r="C203" s="12" t="inlineStr">
        <is>
          <t>Team Liquid Academy</t>
        </is>
      </c>
      <c r="D203" s="12" t="inlineStr">
        <is>
          <t>TLA</t>
        </is>
      </c>
      <c r="E203" s="12" t="inlineStr">
        <is>
          <t>Fade,Neon,Vyse,Yoru</t>
        </is>
      </c>
      <c r="F203" s="12" t="inlineStr">
        <is>
          <t>Omen,Omen,Phoenix,Sova,Viper,Waylay</t>
        </is>
      </c>
      <c r="G203" s="12" t="n">
        <v>13</v>
      </c>
      <c r="H203" s="12" t="n">
        <v>6</v>
      </c>
      <c r="I203" s="12" t="n">
        <v>9</v>
      </c>
      <c r="J203" s="12" t="n">
        <v>3</v>
      </c>
      <c r="K203" s="12" t="n">
        <v>0</v>
      </c>
      <c r="L203" s="12" t="n">
        <v>1</v>
      </c>
      <c r="M203" s="12" t="n">
        <v>4</v>
      </c>
      <c r="N203" s="12" t="n">
        <v>3</v>
      </c>
      <c r="O203" s="12" t="n">
        <v>9</v>
      </c>
      <c r="P203" s="12" t="n">
        <v>3</v>
      </c>
      <c r="Q203" s="12" t="inlineStr">
        <is>
          <t>2026-02-08</t>
        </is>
      </c>
      <c r="R203" s="12" t="inlineStr">
        <is>
          <t>Team Liquid Academy</t>
        </is>
      </c>
      <c r="S203" s="12" t="inlineStr">
        <is>
          <t>Corrode_Fade,Neon,Vyse,Yoru</t>
        </is>
      </c>
    </row>
    <row r="204">
      <c r="A204" s="8" t="inlineStr">
        <is>
          <t>c997c290-13c5-4b4d-919e-3ee722222332</t>
        </is>
      </c>
      <c r="B204" s="8" t="inlineStr">
        <is>
          <t>Pearl</t>
        </is>
      </c>
      <c r="C204" s="8" t="inlineStr">
        <is>
          <t>Team Liquid Academy</t>
        </is>
      </c>
      <c r="D204" s="8" t="inlineStr">
        <is>
          <t>LEO</t>
        </is>
      </c>
      <c r="E204" s="8" t="inlineStr">
        <is>
          <t>Fade,Sage,Vyse,Yoru</t>
        </is>
      </c>
      <c r="F204" s="8" t="inlineStr">
        <is>
          <t>Astra,Astra,Killjoy,Neon,Sova,Yoru</t>
        </is>
      </c>
      <c r="G204" s="8" t="n">
        <v>13</v>
      </c>
      <c r="H204" s="8" t="n">
        <v>8</v>
      </c>
      <c r="I204" s="8" t="n">
        <v>6</v>
      </c>
      <c r="J204" s="8" t="n">
        <v>6</v>
      </c>
      <c r="K204" s="8" t="n">
        <v>1</v>
      </c>
      <c r="L204" s="8" t="n">
        <v>0</v>
      </c>
      <c r="M204" s="8" t="n">
        <v>7</v>
      </c>
      <c r="N204" s="8" t="n">
        <v>2</v>
      </c>
      <c r="O204" s="8" t="n">
        <v>6</v>
      </c>
      <c r="P204" s="8" t="n">
        <v>6</v>
      </c>
      <c r="Q204" s="8" t="inlineStr">
        <is>
          <t>2026-02-08</t>
        </is>
      </c>
      <c r="R204" s="8" t="inlineStr">
        <is>
          <t>Team Liquid Academy</t>
        </is>
      </c>
      <c r="S204" s="8" t="inlineStr">
        <is>
          <t>Pearl_Fade,Sage,Vyse,Yoru</t>
        </is>
      </c>
    </row>
    <row r="205">
      <c r="A205" s="12" t="inlineStr">
        <is>
          <t>ddd0aa57-4ff7-487b-9175-544561f4943b</t>
        </is>
      </c>
      <c r="B205" s="12" t="inlineStr">
        <is>
          <t>Corrode</t>
        </is>
      </c>
      <c r="C205" s="12" t="inlineStr">
        <is>
          <t>Team Liquid Academy</t>
        </is>
      </c>
      <c r="D205" s="12" t="inlineStr">
        <is>
          <t>TLA</t>
        </is>
      </c>
      <c r="E205" s="12" t="inlineStr">
        <is>
          <t>Fade,Neon,Vyse,Yoru</t>
        </is>
      </c>
      <c r="F205" s="12" t="inlineStr">
        <is>
          <t>Cypher,Fade,Omen,Omen,Tejo,Waylay</t>
        </is>
      </c>
      <c r="G205" s="12" t="n">
        <v>13</v>
      </c>
      <c r="H205" s="12" t="n">
        <v>8</v>
      </c>
      <c r="I205" s="12" t="n">
        <v>6</v>
      </c>
      <c r="J205" s="12" t="n">
        <v>6</v>
      </c>
      <c r="K205" s="12" t="n">
        <v>0</v>
      </c>
      <c r="L205" s="12" t="n">
        <v>1</v>
      </c>
      <c r="M205" s="12" t="n">
        <v>7</v>
      </c>
      <c r="N205" s="12" t="n">
        <v>2</v>
      </c>
      <c r="O205" s="12" t="n">
        <v>6</v>
      </c>
      <c r="P205" s="12" t="n">
        <v>6</v>
      </c>
      <c r="Q205" s="12" t="inlineStr">
        <is>
          <t>2026-02-07</t>
        </is>
      </c>
      <c r="R205" s="12" t="inlineStr">
        <is>
          <t>Team Liquid Academy</t>
        </is>
      </c>
      <c r="S205" s="12" t="inlineStr">
        <is>
          <t>Corrode_Fade,Neon,Vyse,Yoru</t>
        </is>
      </c>
    </row>
    <row r="206">
      <c r="A206" s="8" t="inlineStr">
        <is>
          <t>70ba3485-ddcd-484d-85f9-77c1d13c8d6a</t>
        </is>
      </c>
      <c r="B206" s="8" t="inlineStr">
        <is>
          <t>Split</t>
        </is>
      </c>
      <c r="C206" s="8" t="inlineStr">
        <is>
          <t>Team Liquid Academy</t>
        </is>
      </c>
      <c r="D206" s="8" t="inlineStr">
        <is>
          <t>TLA</t>
        </is>
      </c>
      <c r="E206" s="8" t="inlineStr">
        <is>
          <t>Fade,Raze,Viper,Yoru</t>
        </is>
      </c>
      <c r="F206" s="8" t="inlineStr">
        <is>
          <t>Fade,Omen,Omen,Raze,Viper,Yoru</t>
        </is>
      </c>
      <c r="G206" s="8" t="n">
        <v>13</v>
      </c>
      <c r="H206" s="8" t="n">
        <v>5</v>
      </c>
      <c r="I206" s="8" t="n">
        <v>8</v>
      </c>
      <c r="J206" s="8" t="n">
        <v>4</v>
      </c>
      <c r="K206" s="8" t="n">
        <v>1</v>
      </c>
      <c r="L206" s="8" t="n">
        <v>1</v>
      </c>
      <c r="M206" s="8" t="n">
        <v>5</v>
      </c>
      <c r="N206" s="8" t="n">
        <v>1</v>
      </c>
      <c r="O206" s="8" t="n">
        <v>8</v>
      </c>
      <c r="P206" s="8" t="n">
        <v>4</v>
      </c>
      <c r="Q206" s="8" t="inlineStr">
        <is>
          <t>2026-02-07</t>
        </is>
      </c>
      <c r="R206" s="8" t="inlineStr">
        <is>
          <t>Team Liquid Academy</t>
        </is>
      </c>
      <c r="S206" s="8" t="inlineStr">
        <is>
          <t>Split_Fade,Raze,Viper,Yoru</t>
        </is>
      </c>
    </row>
    <row r="207">
      <c r="A207" s="12" t="inlineStr">
        <is>
          <t>f1650951-d69f-4269-a5ae-4d33543c78b6</t>
        </is>
      </c>
      <c r="B207" s="12" t="inlineStr">
        <is>
          <t>Pearl</t>
        </is>
      </c>
      <c r="C207" s="12" t="inlineStr">
        <is>
          <t>Team Liquid Academy</t>
        </is>
      </c>
      <c r="D207" s="12" t="inlineStr">
        <is>
          <t>PXL</t>
        </is>
      </c>
      <c r="E207" s="12" t="inlineStr">
        <is>
          <t>Fade,Sage,Vyse,Yoru</t>
        </is>
      </c>
      <c r="F207" s="12" t="inlineStr">
        <is>
          <t>Astra,Astra,Killjoy,Neon,Sova,Yoru</t>
        </is>
      </c>
      <c r="G207" s="12" t="n">
        <v>11</v>
      </c>
      <c r="H207" s="12" t="n">
        <v>13</v>
      </c>
      <c r="I207" s="12" t="n">
        <v>8</v>
      </c>
      <c r="J207" s="12" t="n">
        <v>4</v>
      </c>
      <c r="K207" s="12" t="n">
        <v>1</v>
      </c>
      <c r="L207" s="12" t="n">
        <v>0</v>
      </c>
      <c r="M207" s="12" t="n">
        <v>3</v>
      </c>
      <c r="N207" s="12" t="n">
        <v>9</v>
      </c>
      <c r="O207" s="12" t="n">
        <v>8</v>
      </c>
      <c r="P207" s="12" t="n">
        <v>4</v>
      </c>
      <c r="Q207" s="12" t="inlineStr">
        <is>
          <t>2026-01-31</t>
        </is>
      </c>
      <c r="R207" s="12" t="inlineStr">
        <is>
          <t>PXL</t>
        </is>
      </c>
      <c r="S207" s="12" t="inlineStr">
        <is>
          <t>Pearl_Fade,Sage,Vyse,Yoru</t>
        </is>
      </c>
    </row>
    <row r="208">
      <c r="A208" s="8" t="inlineStr">
        <is>
          <t>333c2253-15aa-4714-8817-9eaf9817a1b9</t>
        </is>
      </c>
      <c r="B208" s="8" t="inlineStr">
        <is>
          <t>Corrode</t>
        </is>
      </c>
      <c r="C208" s="8" t="inlineStr">
        <is>
          <t>Team Liquid Academy</t>
        </is>
      </c>
      <c r="D208" s="8" t="inlineStr">
        <is>
          <t>PXL</t>
        </is>
      </c>
      <c r="E208" s="8" t="inlineStr">
        <is>
          <t>Fade,Neon,Vyse,Yoru</t>
        </is>
      </c>
      <c r="F208" s="8" t="inlineStr">
        <is>
          <t>Omen,Omen,Sova,Tejo,Viper,Waylay</t>
        </is>
      </c>
      <c r="G208" s="8" t="n">
        <v>13</v>
      </c>
      <c r="H208" s="8" t="n">
        <v>9</v>
      </c>
      <c r="I208" s="8" t="n">
        <v>9</v>
      </c>
      <c r="J208" s="8" t="n">
        <v>3</v>
      </c>
      <c r="K208" s="8" t="n">
        <v>1</v>
      </c>
      <c r="L208" s="8" t="n">
        <v>1</v>
      </c>
      <c r="M208" s="8" t="n">
        <v>9</v>
      </c>
      <c r="N208" s="8" t="n">
        <v>3</v>
      </c>
      <c r="O208" s="8" t="n">
        <v>4</v>
      </c>
      <c r="P208" s="8" t="n">
        <v>6</v>
      </c>
      <c r="Q208" s="8" t="inlineStr">
        <is>
          <t>2026-01-31</t>
        </is>
      </c>
      <c r="R208" s="8" t="inlineStr">
        <is>
          <t>Team Liquid Academy</t>
        </is>
      </c>
      <c r="S208" s="8" t="inlineStr">
        <is>
          <t>Corrode_Fade,Neon,Vyse,Yoru</t>
        </is>
      </c>
    </row>
    <row r="209">
      <c r="A209" s="12" t="inlineStr">
        <is>
          <t>04958079-f139-415c-a934-8fd64d6c9644</t>
        </is>
      </c>
      <c r="B209" s="12" t="inlineStr">
        <is>
          <t>Split</t>
        </is>
      </c>
      <c r="C209" s="12" t="inlineStr">
        <is>
          <t>Team Liquid Academy</t>
        </is>
      </c>
      <c r="D209" s="12" t="inlineStr">
        <is>
          <t>TLA</t>
        </is>
      </c>
      <c r="E209" s="12" t="inlineStr">
        <is>
          <t>Fade,Raze,Viper,Yoru</t>
        </is>
      </c>
      <c r="F209" s="12" t="inlineStr">
        <is>
          <t>Fade,Omen,Omen,Raze,Viper,Yoru</t>
        </is>
      </c>
      <c r="G209" s="12" t="n">
        <v>14</v>
      </c>
      <c r="H209" s="12" t="n">
        <v>16</v>
      </c>
      <c r="I209" s="12" t="n">
        <v>8</v>
      </c>
      <c r="J209" s="12" t="n">
        <v>4</v>
      </c>
      <c r="K209" s="12" t="n">
        <v>0</v>
      </c>
      <c r="L209" s="12" t="n">
        <v>0</v>
      </c>
      <c r="M209" s="12" t="n">
        <v>6</v>
      </c>
      <c r="N209" s="12" t="n">
        <v>9</v>
      </c>
      <c r="O209" s="12" t="n">
        <v>8</v>
      </c>
      <c r="P209" s="12" t="n">
        <v>7</v>
      </c>
      <c r="Q209" s="12" t="inlineStr">
        <is>
          <t>2026-01-31</t>
        </is>
      </c>
      <c r="R209" s="12" t="inlineStr">
        <is>
          <t>TLA</t>
        </is>
      </c>
      <c r="S209" s="12" t="inlineStr">
        <is>
          <t>Split_Fade,Raze,Viper,Yoru</t>
        </is>
      </c>
    </row>
    <row r="210">
      <c r="A210" s="8" t="inlineStr">
        <is>
          <t>85085f7d-66ee-42e9-bb08-de544045f3ec</t>
        </is>
      </c>
      <c r="B210" s="8" t="inlineStr">
        <is>
          <t>Corrode</t>
        </is>
      </c>
      <c r="C210" s="8" t="inlineStr">
        <is>
          <t>Team Liquid Academy</t>
        </is>
      </c>
      <c r="D210" s="8" t="inlineStr">
        <is>
          <t>LEO</t>
        </is>
      </c>
      <c r="E210" s="8" t="inlineStr">
        <is>
          <t>Fade,Neon,Vyse,Yoru</t>
        </is>
      </c>
      <c r="F210" s="8" t="inlineStr">
        <is>
          <t>Omen,Omen,Phoenix,Sova,Viper,Waylay</t>
        </is>
      </c>
      <c r="G210" s="8" t="n">
        <v>13</v>
      </c>
      <c r="H210" s="8" t="n">
        <v>9</v>
      </c>
      <c r="I210" s="8" t="n">
        <v>6</v>
      </c>
      <c r="J210" s="8" t="n">
        <v>6</v>
      </c>
      <c r="K210" s="8" t="n">
        <v>0</v>
      </c>
      <c r="L210" s="8" t="n">
        <v>0</v>
      </c>
      <c r="M210" s="8" t="n">
        <v>7</v>
      </c>
      <c r="N210" s="8" t="n">
        <v>3</v>
      </c>
      <c r="O210" s="8" t="n">
        <v>6</v>
      </c>
      <c r="P210" s="8" t="n">
        <v>6</v>
      </c>
      <c r="Q210" s="8" t="inlineStr">
        <is>
          <t>2026-01-30</t>
        </is>
      </c>
      <c r="R210" s="8" t="inlineStr">
        <is>
          <t>Team Liquid Academy</t>
        </is>
      </c>
      <c r="S210" s="8" t="inlineStr">
        <is>
          <t>Corrode_Fade,Neon,Vyse,Yoru</t>
        </is>
      </c>
    </row>
    <row r="211">
      <c r="A211" s="12" t="inlineStr">
        <is>
          <t>d728b5e1-ad99-4311-aea4-2bcee68ea079</t>
        </is>
      </c>
      <c r="B211" s="12" t="inlineStr">
        <is>
          <t>Pearl</t>
        </is>
      </c>
      <c r="C211" s="12" t="inlineStr">
        <is>
          <t>Team Liquid Academy</t>
        </is>
      </c>
      <c r="D211" s="12" t="inlineStr">
        <is>
          <t>LEO</t>
        </is>
      </c>
      <c r="E211" s="12" t="inlineStr">
        <is>
          <t>Fade,Sage,Vyse,Yoru</t>
        </is>
      </c>
      <c r="F211" s="12" t="inlineStr">
        <is>
          <t>Astra,Astra,Killjoy,Neon,Sova,Yoru</t>
        </is>
      </c>
      <c r="G211" s="12" t="n">
        <v>13</v>
      </c>
      <c r="H211" s="12" t="n">
        <v>5</v>
      </c>
      <c r="I211" s="12" t="n">
        <v>9</v>
      </c>
      <c r="J211" s="12" t="n">
        <v>3</v>
      </c>
      <c r="K211" s="12" t="n">
        <v>1</v>
      </c>
      <c r="L211" s="12" t="n">
        <v>1</v>
      </c>
      <c r="M211" s="12" t="n">
        <v>4</v>
      </c>
      <c r="N211" s="12" t="n">
        <v>2</v>
      </c>
      <c r="O211" s="12" t="n">
        <v>9</v>
      </c>
      <c r="P211" s="12" t="n">
        <v>3</v>
      </c>
      <c r="Q211" s="12" t="inlineStr">
        <is>
          <t>2026-01-30</t>
        </is>
      </c>
      <c r="R211" s="12" t="inlineStr">
        <is>
          <t>Team Liquid Academy</t>
        </is>
      </c>
      <c r="S211" s="12" t="inlineStr">
        <is>
          <t>Pearl_Fade,Sage,Vyse,Yoru</t>
        </is>
      </c>
    </row>
    <row r="212">
      <c r="A212" s="8" t="inlineStr">
        <is>
          <t>5a4609e4-5b72-46b2-bfab-5847b6da937c</t>
        </is>
      </c>
      <c r="B212" s="8" t="inlineStr">
        <is>
          <t>Corrode</t>
        </is>
      </c>
      <c r="C212" s="8" t="inlineStr">
        <is>
          <t>Team Liquid Academy</t>
        </is>
      </c>
      <c r="D212" s="8" t="inlineStr">
        <is>
          <t>VIT</t>
        </is>
      </c>
      <c r="E212" s="8" t="inlineStr">
        <is>
          <t>Astra,KAY/O,Omen,Sova,Waylay</t>
        </is>
      </c>
      <c r="F212" s="8" t="inlineStr">
        <is>
          <t>Astra,Chamber,Phoenix,Sova,Yoru</t>
        </is>
      </c>
      <c r="G212" s="8" t="n">
        <v>9</v>
      </c>
      <c r="H212" s="8" t="n">
        <v>13</v>
      </c>
      <c r="I212" s="8" t="n">
        <v>4</v>
      </c>
      <c r="J212" s="8" t="n">
        <v>8</v>
      </c>
      <c r="K212" s="8" t="n">
        <v>1</v>
      </c>
      <c r="L212" s="8" t="n">
        <v>0</v>
      </c>
      <c r="M212" s="8" t="n">
        <v>4</v>
      </c>
      <c r="N212" s="8" t="n">
        <v>8</v>
      </c>
      <c r="O212" s="8" t="n">
        <v>5</v>
      </c>
      <c r="P212" s="8" t="n">
        <v>5</v>
      </c>
      <c r="Q212" s="8" t="inlineStr">
        <is>
          <t>2026-01-23</t>
        </is>
      </c>
      <c r="R212" s="8" t="inlineStr">
        <is>
          <t>VIT</t>
        </is>
      </c>
      <c r="S212" s="8" t="inlineStr">
        <is>
          <t>Corrode_Astra,KAY/O,Omen,Sova,Waylay</t>
        </is>
      </c>
    </row>
    <row r="213">
      <c r="A213" s="12" t="inlineStr">
        <is>
          <t>25f0d5ec-0794-4184-9b06-adb1422817c1</t>
        </is>
      </c>
      <c r="B213" s="12" t="inlineStr">
        <is>
          <t>Pearl</t>
        </is>
      </c>
      <c r="C213" s="12" t="inlineStr">
        <is>
          <t>Team Liquid Academy</t>
        </is>
      </c>
      <c r="D213" s="12" t="inlineStr">
        <is>
          <t>VIT</t>
        </is>
      </c>
      <c r="E213" s="12" t="inlineStr">
        <is>
          <t>Brimstone,Fade,Killjoy,Waylay,Yoru</t>
        </is>
      </c>
      <c r="F213" s="12" t="inlineStr">
        <is>
          <t>Astra,Fade,Sage,Tejo,Yoru</t>
        </is>
      </c>
      <c r="G213" s="12" t="n">
        <v>14</v>
      </c>
      <c r="H213" s="12" t="n">
        <v>12</v>
      </c>
      <c r="I213" s="12" t="n">
        <v>8</v>
      </c>
      <c r="J213" s="12" t="n">
        <v>4</v>
      </c>
      <c r="K213" s="12" t="n">
        <v>1</v>
      </c>
      <c r="L213" s="12" t="n">
        <v>0</v>
      </c>
      <c r="M213" s="12" t="n">
        <v>9</v>
      </c>
      <c r="N213" s="12" t="n">
        <v>4</v>
      </c>
      <c r="O213" s="12" t="n">
        <v>5</v>
      </c>
      <c r="P213" s="12" t="n">
        <v>8</v>
      </c>
      <c r="Q213" s="12" t="inlineStr">
        <is>
          <t>2026-01-23</t>
        </is>
      </c>
      <c r="R213" s="12" t="inlineStr">
        <is>
          <t>Team Liquid Academy</t>
        </is>
      </c>
      <c r="S213" s="12" t="inlineStr">
        <is>
          <t>Pearl_Brimstone,Fade,Killjoy,Waylay,Yoru</t>
        </is>
      </c>
    </row>
    <row r="214">
      <c r="A214" s="8" t="inlineStr">
        <is>
          <t>627f6ac5-4723-4aa8-9da0-257b1488ceb7</t>
        </is>
      </c>
      <c r="B214" s="8" t="inlineStr">
        <is>
          <t>Breeze</t>
        </is>
      </c>
      <c r="C214" s="8" t="inlineStr">
        <is>
          <t>Team Liquid Academy</t>
        </is>
      </c>
      <c r="D214" s="8" t="inlineStr">
        <is>
          <t>VIT</t>
        </is>
      </c>
      <c r="E214" s="8" t="inlineStr">
        <is>
          <t>Astra,Jett,Sova,Viper,Yoru</t>
        </is>
      </c>
      <c r="F214" s="8" t="inlineStr">
        <is>
          <t>Jett,Omen,Sova,Viper,Yoru</t>
        </is>
      </c>
      <c r="G214" s="8" t="n">
        <v>11</v>
      </c>
      <c r="H214" s="8" t="n">
        <v>13</v>
      </c>
      <c r="I214" s="8" t="n">
        <v>6</v>
      </c>
      <c r="J214" s="8" t="n">
        <v>6</v>
      </c>
      <c r="K214" s="8" t="n">
        <v>1</v>
      </c>
      <c r="L214" s="8" t="n">
        <v>1</v>
      </c>
      <c r="M214" s="8" t="n">
        <v>6</v>
      </c>
      <c r="N214" s="8" t="n">
        <v>6</v>
      </c>
      <c r="O214" s="8" t="n">
        <v>5</v>
      </c>
      <c r="P214" s="8" t="n">
        <v>7</v>
      </c>
      <c r="Q214" s="8" t="inlineStr">
        <is>
          <t>2026-01-23</t>
        </is>
      </c>
      <c r="R214" s="8" t="inlineStr">
        <is>
          <t>VIT</t>
        </is>
      </c>
      <c r="S214" s="8" t="inlineStr">
        <is>
          <t>Breeze_Astra,Jett,Sova,Viper,Yoru</t>
        </is>
      </c>
    </row>
    <row r="215">
      <c r="A215" s="12" t="inlineStr">
        <is>
          <t>1dc643a5-93db-4f0c-945e-0dda1d275f95</t>
        </is>
      </c>
      <c r="B215" s="12" t="inlineStr">
        <is>
          <t>Pearl</t>
        </is>
      </c>
      <c r="C215" s="12" t="inlineStr">
        <is>
          <t>Pixel Lumina</t>
        </is>
      </c>
      <c r="D215" s="12" t="inlineStr">
        <is>
          <t>EP</t>
        </is>
      </c>
      <c r="E215" s="12" t="inlineStr">
        <is>
          <t>Astra,Killjoy,Neon,Sova,Yoru</t>
        </is>
      </c>
      <c r="F215" s="12" t="inlineStr">
        <is>
          <t>Astra,Fade,Killjoy,Tejo,Yoru</t>
        </is>
      </c>
      <c r="G215" s="12" t="n">
        <v>7</v>
      </c>
      <c r="H215" s="12" t="n">
        <v>13</v>
      </c>
      <c r="I215" s="12" t="n">
        <v>2</v>
      </c>
      <c r="J215" s="12" t="n">
        <v>10</v>
      </c>
      <c r="K215" s="12" t="n">
        <v>1</v>
      </c>
      <c r="L215" s="12" t="n">
        <v>0</v>
      </c>
      <c r="M215" s="12" t="n">
        <v>5</v>
      </c>
      <c r="N215" s="12" t="n">
        <v>3</v>
      </c>
      <c r="O215" s="12" t="n">
        <v>2</v>
      </c>
      <c r="P215" s="12" t="n">
        <v>10</v>
      </c>
      <c r="Q215" s="12" t="inlineStr">
        <is>
          <t>2026-03-07</t>
        </is>
      </c>
      <c r="R215" s="12" t="inlineStr">
        <is>
          <t>EP</t>
        </is>
      </c>
      <c r="S215" s="12" t="inlineStr">
        <is>
          <t>Pearl_Astra,Killjoy,Neon,Sova,Yoru</t>
        </is>
      </c>
    </row>
    <row r="216">
      <c r="A216" s="8" t="inlineStr">
        <is>
          <t>c3736a3a-4314-4c71-b801-62f61f4596f5</t>
        </is>
      </c>
      <c r="B216" s="8" t="inlineStr">
        <is>
          <t>Split</t>
        </is>
      </c>
      <c r="C216" s="8" t="inlineStr">
        <is>
          <t>Pixel Lumina</t>
        </is>
      </c>
      <c r="D216" s="8" t="inlineStr">
        <is>
          <t>EP</t>
        </is>
      </c>
      <c r="E216" s="8" t="inlineStr">
        <is>
          <t>Fade,Omen,Raze,Viper,Yoru</t>
        </is>
      </c>
      <c r="F216" s="8" t="inlineStr">
        <is>
          <t>Omen,Tejo,Viper,Waylay,Yoru</t>
        </is>
      </c>
      <c r="G216" s="8" t="n">
        <v>5</v>
      </c>
      <c r="H216" s="8" t="n">
        <v>13</v>
      </c>
      <c r="I216" s="8" t="n">
        <v>2</v>
      </c>
      <c r="J216" s="8" t="n">
        <v>10</v>
      </c>
      <c r="K216" s="8" t="n">
        <v>0</v>
      </c>
      <c r="L216" s="8" t="n">
        <v>1</v>
      </c>
      <c r="M216" s="8" t="n">
        <v>2</v>
      </c>
      <c r="N216" s="8" t="n">
        <v>10</v>
      </c>
      <c r="O216" s="8" t="n">
        <v>3</v>
      </c>
      <c r="P216" s="8" t="n">
        <v>3</v>
      </c>
      <c r="Q216" s="8" t="inlineStr">
        <is>
          <t>2026-03-07</t>
        </is>
      </c>
      <c r="R216" s="8" t="inlineStr">
        <is>
          <t>EP</t>
        </is>
      </c>
      <c r="S216" s="8" t="inlineStr">
        <is>
          <t>Split_Fade,Omen,Raze,Viper,Yoru</t>
        </is>
      </c>
    </row>
    <row r="217">
      <c r="A217" s="12" t="inlineStr">
        <is>
          <t>eda6143c-1ade-4ecd-8ded-0dd810d38c2e</t>
        </is>
      </c>
      <c r="B217" s="12" t="inlineStr">
        <is>
          <t>Bind</t>
        </is>
      </c>
      <c r="C217" s="12" t="inlineStr">
        <is>
          <t>Pixel Lumina</t>
        </is>
      </c>
      <c r="D217" s="12" t="inlineStr">
        <is>
          <t>M1R</t>
        </is>
      </c>
      <c r="E217" s="12" t="inlineStr">
        <is>
          <t>Brimstone,Fade,Raze,Viper,Yoru</t>
        </is>
      </c>
      <c r="F217" s="12" t="inlineStr">
        <is>
          <t>Brimstone,Raze,Skye,Viper,Yoru</t>
        </is>
      </c>
      <c r="G217" s="12" t="n">
        <v>13</v>
      </c>
      <c r="H217" s="12" t="n">
        <v>7</v>
      </c>
      <c r="I217" s="12" t="n">
        <v>6</v>
      </c>
      <c r="J217" s="12" t="n">
        <v>6</v>
      </c>
      <c r="K217" s="12" t="n">
        <v>1</v>
      </c>
      <c r="L217" s="12" t="n">
        <v>0</v>
      </c>
      <c r="M217" s="12" t="n">
        <v>7</v>
      </c>
      <c r="N217" s="12" t="n">
        <v>1</v>
      </c>
      <c r="O217" s="12" t="n">
        <v>6</v>
      </c>
      <c r="P217" s="12" t="n">
        <v>6</v>
      </c>
      <c r="Q217" s="12" t="inlineStr">
        <is>
          <t>2026-03-07</t>
        </is>
      </c>
      <c r="R217" s="12" t="inlineStr">
        <is>
          <t>Pixel Lumina</t>
        </is>
      </c>
      <c r="S217" s="12" t="inlineStr">
        <is>
          <t>Bind_Brimstone,Fade,Raze,Viper,Yoru</t>
        </is>
      </c>
    </row>
    <row r="218">
      <c r="A218" s="8" t="inlineStr">
        <is>
          <t>53a0b187-6147-4e19-aefe-dece209a5644</t>
        </is>
      </c>
      <c r="B218" s="8" t="inlineStr">
        <is>
          <t>Breeze</t>
        </is>
      </c>
      <c r="C218" s="8" t="inlineStr">
        <is>
          <t>Pixel Lumina</t>
        </is>
      </c>
      <c r="D218" s="8" t="inlineStr">
        <is>
          <t>M1R</t>
        </is>
      </c>
      <c r="E218" s="8" t="inlineStr">
        <is>
          <t>Neon,Omen,Sova,Viper,Yoru</t>
        </is>
      </c>
      <c r="F218" s="8" t="inlineStr">
        <is>
          <t>Jett,Omen,Sova,Viper,Yoru</t>
        </is>
      </c>
      <c r="G218" s="8" t="n">
        <v>7</v>
      </c>
      <c r="H218" s="8" t="n">
        <v>13</v>
      </c>
      <c r="I218" s="8" t="n">
        <v>4</v>
      </c>
      <c r="J218" s="8" t="n">
        <v>8</v>
      </c>
      <c r="K218" s="8" t="n">
        <v>0</v>
      </c>
      <c r="L218" s="8" t="n">
        <v>0</v>
      </c>
      <c r="M218" s="8" t="n">
        <v>3</v>
      </c>
      <c r="N218" s="8" t="n">
        <v>5</v>
      </c>
      <c r="O218" s="8" t="n">
        <v>4</v>
      </c>
      <c r="P218" s="8" t="n">
        <v>8</v>
      </c>
      <c r="Q218" s="8" t="inlineStr">
        <is>
          <t>2026-03-07</t>
        </is>
      </c>
      <c r="R218" s="8" t="inlineStr">
        <is>
          <t>M1R</t>
        </is>
      </c>
      <c r="S218" s="8" t="inlineStr">
        <is>
          <t>Breeze_Neon,Omen,Sova,Viper,Yoru</t>
        </is>
      </c>
    </row>
    <row r="219">
      <c r="A219" s="12" t="inlineStr">
        <is>
          <t>79ffbfbc-5f83-4fe0-9804-0d62c39c7c99</t>
        </is>
      </c>
      <c r="B219" s="12" t="inlineStr">
        <is>
          <t>Split</t>
        </is>
      </c>
      <c r="C219" s="12" t="inlineStr">
        <is>
          <t>Pixel Lumina</t>
        </is>
      </c>
      <c r="D219" s="12" t="inlineStr">
        <is>
          <t>M1R</t>
        </is>
      </c>
      <c r="E219" s="12" t="inlineStr">
        <is>
          <t>Fade,Omen,Raze,Viper,Yoru</t>
        </is>
      </c>
      <c r="F219" s="12" t="inlineStr">
        <is>
          <t>Fade,Omen,Viper,Waylay,Yoru</t>
        </is>
      </c>
      <c r="G219" s="12" t="n">
        <v>13</v>
      </c>
      <c r="H219" s="12" t="n">
        <v>9</v>
      </c>
      <c r="I219" s="12" t="n">
        <v>8</v>
      </c>
      <c r="J219" s="12" t="n">
        <v>4</v>
      </c>
      <c r="K219" s="12" t="n">
        <v>1</v>
      </c>
      <c r="L219" s="12" t="n">
        <v>1</v>
      </c>
      <c r="M219" s="12" t="n">
        <v>5</v>
      </c>
      <c r="N219" s="12" t="n">
        <v>5</v>
      </c>
      <c r="O219" s="12" t="n">
        <v>8</v>
      </c>
      <c r="P219" s="12" t="n">
        <v>4</v>
      </c>
      <c r="Q219" s="12" t="inlineStr">
        <is>
          <t>2026-03-07</t>
        </is>
      </c>
      <c r="R219" s="12" t="inlineStr">
        <is>
          <t>Pixel Lumina</t>
        </is>
      </c>
      <c r="S219" s="12" t="inlineStr">
        <is>
          <t>Split_Fade,Omen,Raze,Viper,Yoru</t>
        </is>
      </c>
    </row>
    <row r="220">
      <c r="A220" s="8" t="inlineStr">
        <is>
          <t>c3766324-fc2b-474b-8b02-3bb2e4776fd1</t>
        </is>
      </c>
      <c r="B220" s="8" t="inlineStr">
        <is>
          <t>Split</t>
        </is>
      </c>
      <c r="C220" s="8" t="inlineStr">
        <is>
          <t>Pixel Lumina</t>
        </is>
      </c>
      <c r="D220" s="8" t="inlineStr">
        <is>
          <t>VR2</t>
        </is>
      </c>
      <c r="E220" s="8" t="inlineStr">
        <is>
          <t>Fade,Omen,Raze,Viper,Yoru</t>
        </is>
      </c>
      <c r="F220" s="8" t="inlineStr">
        <is>
          <t>Fade,Omen,Viper,Waylay,Yoru</t>
        </is>
      </c>
      <c r="G220" s="8" t="n">
        <v>13</v>
      </c>
      <c r="H220" s="8" t="n">
        <v>10</v>
      </c>
      <c r="I220" s="8" t="n">
        <v>10</v>
      </c>
      <c r="J220" s="8" t="n">
        <v>2</v>
      </c>
      <c r="K220" s="8" t="n">
        <v>1</v>
      </c>
      <c r="L220" s="8" t="n">
        <v>0</v>
      </c>
      <c r="M220" s="8" t="n">
        <v>10</v>
      </c>
      <c r="N220" s="8" t="n">
        <v>2</v>
      </c>
      <c r="O220" s="8" t="n">
        <v>3</v>
      </c>
      <c r="P220" s="8" t="n">
        <v>8</v>
      </c>
      <c r="Q220" s="8" t="inlineStr">
        <is>
          <t>2026-03-06</t>
        </is>
      </c>
      <c r="R220" s="8" t="inlineStr">
        <is>
          <t>Pixel Lumina</t>
        </is>
      </c>
      <c r="S220" s="8" t="inlineStr">
        <is>
          <t>Split_Fade,Omen,Raze,Viper,Yoru</t>
        </is>
      </c>
    </row>
    <row r="221">
      <c r="A221" s="12" t="inlineStr">
        <is>
          <t>606f7dcb-c2fd-4336-9a29-3070d19f28f1</t>
        </is>
      </c>
      <c r="B221" s="12" t="inlineStr">
        <is>
          <t>Bind</t>
        </is>
      </c>
      <c r="C221" s="12" t="inlineStr">
        <is>
          <t>Pixel Lumina</t>
        </is>
      </c>
      <c r="D221" s="12" t="inlineStr">
        <is>
          <t>VR2</t>
        </is>
      </c>
      <c r="E221" s="12" t="inlineStr">
        <is>
          <t>Brimstone,Fade,Raze,Viper,Yoru</t>
        </is>
      </c>
      <c r="F221" s="12" t="inlineStr">
        <is>
          <t>Brimstone,Fade,Viper,Waylay,Yoru</t>
        </is>
      </c>
      <c r="G221" s="12" t="n">
        <v>14</v>
      </c>
      <c r="H221" s="12" t="n">
        <v>12</v>
      </c>
      <c r="I221" s="12" t="n">
        <v>4</v>
      </c>
      <c r="J221" s="12" t="n">
        <v>8</v>
      </c>
      <c r="K221" s="12" t="n">
        <v>1</v>
      </c>
      <c r="L221" s="12" t="n">
        <v>0</v>
      </c>
      <c r="M221" s="12" t="n">
        <v>9</v>
      </c>
      <c r="N221" s="12" t="n">
        <v>4</v>
      </c>
      <c r="O221" s="12" t="n">
        <v>5</v>
      </c>
      <c r="P221" s="12" t="n">
        <v>8</v>
      </c>
      <c r="Q221" s="12" t="inlineStr">
        <is>
          <t>2026-03-06</t>
        </is>
      </c>
      <c r="R221" s="12" t="inlineStr">
        <is>
          <t>Pixel Lumina</t>
        </is>
      </c>
      <c r="S221" s="12" t="inlineStr">
        <is>
          <t>Bind_Brimstone,Fade,Raze,Viper,Yoru</t>
        </is>
      </c>
    </row>
    <row r="222">
      <c r="A222" s="8" t="inlineStr">
        <is>
          <t>f9f42068-f74a-4571-bc21-bd82f57d0fd8</t>
        </is>
      </c>
      <c r="B222" s="8" t="inlineStr">
        <is>
          <t>Bind</t>
        </is>
      </c>
      <c r="C222" s="8" t="inlineStr">
        <is>
          <t>Pixel Lumina</t>
        </is>
      </c>
      <c r="D222" s="8" t="inlineStr">
        <is>
          <t>EVOP</t>
        </is>
      </c>
      <c r="E222" s="8" t="inlineStr">
        <is>
          <t>Brimstone,Fade,Raze,Viper,Yoru</t>
        </is>
      </c>
      <c r="F222" s="8" t="inlineStr">
        <is>
          <t>Brimstone,Fade,Raze,Viper,Yoru</t>
        </is>
      </c>
      <c r="G222" s="8" t="n">
        <v>13</v>
      </c>
      <c r="H222" s="8" t="n">
        <v>10</v>
      </c>
      <c r="I222" s="8" t="n">
        <v>6</v>
      </c>
      <c r="J222" s="8" t="n">
        <v>6</v>
      </c>
      <c r="K222" s="8" t="n">
        <v>0</v>
      </c>
      <c r="L222" s="8" t="n">
        <v>1</v>
      </c>
      <c r="M222" s="8" t="n">
        <v>6</v>
      </c>
      <c r="N222" s="8" t="n">
        <v>6</v>
      </c>
      <c r="O222" s="8" t="n">
        <v>7</v>
      </c>
      <c r="P222" s="8" t="n">
        <v>4</v>
      </c>
      <c r="Q222" s="8" t="inlineStr">
        <is>
          <t>2026-03-02</t>
        </is>
      </c>
      <c r="R222" s="8" t="inlineStr">
        <is>
          <t>Pixel Lumina</t>
        </is>
      </c>
      <c r="S222" s="8" t="inlineStr">
        <is>
          <t>Bind_Brimstone,Fade,Raze,Viper,Yoru</t>
        </is>
      </c>
    </row>
    <row r="223">
      <c r="A223" s="12" t="inlineStr">
        <is>
          <t>fe99eee4-b916-4ff7-9139-31f81ac48374</t>
        </is>
      </c>
      <c r="B223" s="12" t="inlineStr">
        <is>
          <t>Split</t>
        </is>
      </c>
      <c r="C223" s="12" t="inlineStr">
        <is>
          <t>Pixel Lumina</t>
        </is>
      </c>
      <c r="D223" s="12" t="inlineStr">
        <is>
          <t>EVOP</t>
        </is>
      </c>
      <c r="E223" s="12" t="inlineStr">
        <is>
          <t>Fade,Omen,Raze,Viper,Yoru</t>
        </is>
      </c>
      <c r="F223" s="12" t="inlineStr">
        <is>
          <t>Fade,Omen,Raze,Viper,Yoru</t>
        </is>
      </c>
      <c r="G223" s="12" t="n">
        <v>8</v>
      </c>
      <c r="H223" s="12" t="n">
        <v>13</v>
      </c>
      <c r="I223" s="12" t="n">
        <v>6</v>
      </c>
      <c r="J223" s="12" t="n">
        <v>6</v>
      </c>
      <c r="K223" s="12" t="n">
        <v>1</v>
      </c>
      <c r="L223" s="12" t="n">
        <v>0</v>
      </c>
      <c r="M223" s="12" t="n">
        <v>6</v>
      </c>
      <c r="N223" s="12" t="n">
        <v>6</v>
      </c>
      <c r="O223" s="12" t="n">
        <v>2</v>
      </c>
      <c r="P223" s="12" t="n">
        <v>7</v>
      </c>
      <c r="Q223" s="12" t="inlineStr">
        <is>
          <t>2026-03-02</t>
        </is>
      </c>
      <c r="R223" s="12" t="inlineStr">
        <is>
          <t>EVOP</t>
        </is>
      </c>
      <c r="S223" s="12" t="inlineStr">
        <is>
          <t>Split_Fade,Omen,Raze,Viper,Yoru</t>
        </is>
      </c>
    </row>
    <row r="224">
      <c r="A224" s="8" t="inlineStr">
        <is>
          <t>79c8a75b-1976-4188-a0ed-cfee3e8702f6</t>
        </is>
      </c>
      <c r="B224" s="8" t="inlineStr">
        <is>
          <t>Pearl</t>
        </is>
      </c>
      <c r="C224" s="8" t="inlineStr">
        <is>
          <t>Pixel Lumina</t>
        </is>
      </c>
      <c r="D224" s="8" t="inlineStr">
        <is>
          <t>EVOP</t>
        </is>
      </c>
      <c r="E224" s="8" t="inlineStr">
        <is>
          <t>Astra,Killjoy,Neon,Sova,Yoru</t>
        </is>
      </c>
      <c r="F224" s="8" t="inlineStr">
        <is>
          <t>Astra,Fade,Killjoy,Neon,Yoru</t>
        </is>
      </c>
      <c r="G224" s="8" t="n">
        <v>13</v>
      </c>
      <c r="H224" s="8" t="n">
        <v>7</v>
      </c>
      <c r="I224" s="8" t="n">
        <v>7</v>
      </c>
      <c r="J224" s="8" t="n">
        <v>5</v>
      </c>
      <c r="K224" s="8" t="n">
        <v>1</v>
      </c>
      <c r="L224" s="8" t="n">
        <v>0</v>
      </c>
      <c r="M224" s="8" t="n">
        <v>6</v>
      </c>
      <c r="N224" s="8" t="n">
        <v>2</v>
      </c>
      <c r="O224" s="8" t="n">
        <v>7</v>
      </c>
      <c r="P224" s="8" t="n">
        <v>5</v>
      </c>
      <c r="Q224" s="8" t="inlineStr">
        <is>
          <t>2026-03-02</t>
        </is>
      </c>
      <c r="R224" s="8" t="inlineStr">
        <is>
          <t>Pixel Lumina</t>
        </is>
      </c>
      <c r="S224" s="8" t="inlineStr">
        <is>
          <t>Pearl_Astra,Killjoy,Neon,Sova,Yoru</t>
        </is>
      </c>
    </row>
    <row r="225">
      <c r="A225" s="12" t="inlineStr">
        <is>
          <t>85bf4b80-545c-4697-8cf0-aaab1c053773</t>
        </is>
      </c>
      <c r="B225" s="12" t="inlineStr">
        <is>
          <t>Breeze</t>
        </is>
      </c>
      <c r="C225" s="12" t="inlineStr">
        <is>
          <t>Pixel Lumina</t>
        </is>
      </c>
      <c r="D225" s="12" t="inlineStr">
        <is>
          <t>xuss</t>
        </is>
      </c>
      <c r="E225" s="12" t="inlineStr">
        <is>
          <t>Astra,Neon,Sova,Viper,Yoru</t>
        </is>
      </c>
      <c r="F225" s="12" t="inlineStr">
        <is>
          <t>Jett,Omen,Sova,Viper,Yoru</t>
        </is>
      </c>
      <c r="G225" s="12" t="n">
        <v>5</v>
      </c>
      <c r="H225" s="12" t="n">
        <v>13</v>
      </c>
      <c r="I225" s="12" t="n">
        <v>4</v>
      </c>
      <c r="J225" s="12" t="n">
        <v>8</v>
      </c>
      <c r="K225" s="12" t="n">
        <v>0</v>
      </c>
      <c r="L225" s="12" t="n">
        <v>0</v>
      </c>
      <c r="M225" s="12" t="n">
        <v>4</v>
      </c>
      <c r="N225" s="12" t="n">
        <v>8</v>
      </c>
      <c r="O225" s="12" t="n">
        <v>1</v>
      </c>
      <c r="P225" s="12" t="n">
        <v>5</v>
      </c>
      <c r="Q225" s="12" t="inlineStr">
        <is>
          <t>2026-03-01</t>
        </is>
      </c>
      <c r="R225" s="12" t="inlineStr">
        <is>
          <t>xuss</t>
        </is>
      </c>
      <c r="S225" s="12" t="inlineStr">
        <is>
          <t>Breeze_Astra,Neon,Sova,Viper,Yoru</t>
        </is>
      </c>
    </row>
    <row r="226">
      <c r="A226" s="8" t="inlineStr">
        <is>
          <t>50a78ba3-401d-40e8-89ae-a31285a1fd63</t>
        </is>
      </c>
      <c r="B226" s="8" t="inlineStr">
        <is>
          <t>Split</t>
        </is>
      </c>
      <c r="C226" s="8" t="inlineStr">
        <is>
          <t>Pixel Lumina</t>
        </is>
      </c>
      <c r="D226" s="8" t="inlineStr">
        <is>
          <t>xuss</t>
        </is>
      </c>
      <c r="E226" s="8" t="inlineStr">
        <is>
          <t>Fade,Omen,Raze,Viper,Yoru</t>
        </is>
      </c>
      <c r="F226" s="8" t="inlineStr">
        <is>
          <t>Fade,Omen,Raze,Viper,Yoru</t>
        </is>
      </c>
      <c r="G226" s="8" t="n">
        <v>11</v>
      </c>
      <c r="H226" s="8" t="n">
        <v>13</v>
      </c>
      <c r="I226" s="8" t="n">
        <v>9</v>
      </c>
      <c r="J226" s="8" t="n">
        <v>3</v>
      </c>
      <c r="K226" s="8" t="n">
        <v>0</v>
      </c>
      <c r="L226" s="8" t="n">
        <v>1</v>
      </c>
      <c r="M226" s="8" t="n">
        <v>2</v>
      </c>
      <c r="N226" s="8" t="n">
        <v>10</v>
      </c>
      <c r="O226" s="8" t="n">
        <v>9</v>
      </c>
      <c r="P226" s="8" t="n">
        <v>3</v>
      </c>
      <c r="Q226" s="8" t="inlineStr">
        <is>
          <t>2026-03-01</t>
        </is>
      </c>
      <c r="R226" s="8" t="inlineStr">
        <is>
          <t>xuss</t>
        </is>
      </c>
      <c r="S226" s="8" t="inlineStr">
        <is>
          <t>Split_Fade,Omen,Raze,Viper,Yoru</t>
        </is>
      </c>
    </row>
    <row r="227">
      <c r="A227" s="12" t="inlineStr">
        <is>
          <t>eda6143c-1ade-4ecd-8ded-0dd810d38c2e</t>
        </is>
      </c>
      <c r="B227" s="12" t="inlineStr">
        <is>
          <t>Bind</t>
        </is>
      </c>
      <c r="C227" s="12" t="inlineStr">
        <is>
          <t>MIR</t>
        </is>
      </c>
      <c r="D227" s="12" t="inlineStr">
        <is>
          <t>PXL</t>
        </is>
      </c>
      <c r="E227" s="12" t="inlineStr">
        <is>
          <t>Brimstone,Raze,Skye,Viper,Yoru</t>
        </is>
      </c>
      <c r="F227" s="12" t="inlineStr">
        <is>
          <t>Brimstone,Fade,Raze,Viper,Yoru</t>
        </is>
      </c>
      <c r="G227" s="12" t="n">
        <v>7</v>
      </c>
      <c r="H227" s="12" t="n">
        <v>13</v>
      </c>
      <c r="I227" s="12" t="n">
        <v>6</v>
      </c>
      <c r="J227" s="12" t="n">
        <v>6</v>
      </c>
      <c r="K227" s="12" t="n">
        <v>1</v>
      </c>
      <c r="L227" s="12" t="n">
        <v>0</v>
      </c>
      <c r="M227" s="12" t="n">
        <v>6</v>
      </c>
      <c r="N227" s="12" t="n">
        <v>6</v>
      </c>
      <c r="O227" s="12" t="n">
        <v>1</v>
      </c>
      <c r="P227" s="12" t="n">
        <v>7</v>
      </c>
      <c r="Q227" s="12" t="inlineStr">
        <is>
          <t>2026-03-07</t>
        </is>
      </c>
      <c r="R227" s="12" t="inlineStr">
        <is>
          <t>PXL</t>
        </is>
      </c>
      <c r="S227" s="12" t="inlineStr">
        <is>
          <t>Bind_Brimstone,Raze,Skye,Viper,Yoru</t>
        </is>
      </c>
    </row>
    <row r="228">
      <c r="A228" s="8" t="inlineStr">
        <is>
          <t>53a0b187-6147-4e19-aefe-dece209a5644</t>
        </is>
      </c>
      <c r="B228" s="8" t="inlineStr">
        <is>
          <t>Breeze</t>
        </is>
      </c>
      <c r="C228" s="8" t="inlineStr">
        <is>
          <t>MIR</t>
        </is>
      </c>
      <c r="D228" s="8" t="inlineStr">
        <is>
          <t>PXL</t>
        </is>
      </c>
      <c r="E228" s="8" t="inlineStr">
        <is>
          <t>Jett,Omen,Sova,Viper,Yoru</t>
        </is>
      </c>
      <c r="F228" s="8" t="inlineStr">
        <is>
          <t>Neon,Omen,Sova,Viper,Yoru</t>
        </is>
      </c>
      <c r="G228" s="8" t="n">
        <v>13</v>
      </c>
      <c r="H228" s="8" t="n">
        <v>7</v>
      </c>
      <c r="I228" s="8" t="n">
        <v>8</v>
      </c>
      <c r="J228" s="8" t="n">
        <v>4</v>
      </c>
      <c r="K228" s="8" t="n">
        <v>1</v>
      </c>
      <c r="L228" s="8" t="n">
        <v>1</v>
      </c>
      <c r="M228" s="8" t="n">
        <v>8</v>
      </c>
      <c r="N228" s="8" t="n">
        <v>4</v>
      </c>
      <c r="O228" s="8" t="n">
        <v>5</v>
      </c>
      <c r="P228" s="8" t="n">
        <v>3</v>
      </c>
      <c r="Q228" s="8" t="inlineStr">
        <is>
          <t>2026-03-07</t>
        </is>
      </c>
      <c r="R228" s="8" t="inlineStr">
        <is>
          <t>MIR</t>
        </is>
      </c>
      <c r="S228" s="8" t="inlineStr">
        <is>
          <t>Breeze_Jett,Omen,Sova,Viper,Yoru</t>
        </is>
      </c>
    </row>
    <row r="229">
      <c r="A229" s="12" t="inlineStr">
        <is>
          <t>79ffbfbc-5f83-4fe0-9804-0d62c39c7c99</t>
        </is>
      </c>
      <c r="B229" s="12" t="inlineStr">
        <is>
          <t>Split</t>
        </is>
      </c>
      <c r="C229" s="12" t="inlineStr">
        <is>
          <t>MIR</t>
        </is>
      </c>
      <c r="D229" s="12" t="inlineStr">
        <is>
          <t>PXL</t>
        </is>
      </c>
      <c r="E229" s="12" t="inlineStr">
        <is>
          <t>Fade,Omen,Viper,Waylay,Yoru</t>
        </is>
      </c>
      <c r="F229" s="12" t="inlineStr">
        <is>
          <t>Fade,Omen,Raze,Viper,Yoru</t>
        </is>
      </c>
      <c r="G229" s="12" t="n">
        <v>9</v>
      </c>
      <c r="H229" s="12" t="n">
        <v>13</v>
      </c>
      <c r="I229" s="12" t="n">
        <v>4</v>
      </c>
      <c r="J229" s="12" t="n">
        <v>8</v>
      </c>
      <c r="K229" s="12" t="n">
        <v>0</v>
      </c>
      <c r="L229" s="12" t="n">
        <v>0</v>
      </c>
      <c r="M229" s="12" t="n">
        <v>4</v>
      </c>
      <c r="N229" s="12" t="n">
        <v>8</v>
      </c>
      <c r="O229" s="12" t="n">
        <v>5</v>
      </c>
      <c r="P229" s="12" t="n">
        <v>5</v>
      </c>
      <c r="Q229" s="12" t="inlineStr">
        <is>
          <t>2026-03-07</t>
        </is>
      </c>
      <c r="R229" s="12" t="inlineStr">
        <is>
          <t>PXL</t>
        </is>
      </c>
      <c r="S229" s="12" t="inlineStr">
        <is>
          <t>Split_Fade,Omen,Viper,Waylay,Yoru</t>
        </is>
      </c>
    </row>
    <row r="230">
      <c r="A230" s="8" t="inlineStr">
        <is>
          <t>d9827419-8e32-4b77-b829-d8a8c0b0b18e</t>
        </is>
      </c>
      <c r="B230" s="8" t="inlineStr">
        <is>
          <t>Bind</t>
        </is>
      </c>
      <c r="C230" s="8" t="inlineStr">
        <is>
          <t>MIR</t>
        </is>
      </c>
      <c r="D230" s="8" t="inlineStr">
        <is>
          <t>FMG</t>
        </is>
      </c>
      <c r="E230" s="8" t="inlineStr">
        <is>
          <t>Brimstone,Raze,Skye,Viper,Yoru</t>
        </is>
      </c>
      <c r="F230" s="8" t="inlineStr">
        <is>
          <t>Brimstone,Fade,Neon,Viper,Yoru</t>
        </is>
      </c>
      <c r="G230" s="8" t="n">
        <v>13</v>
      </c>
      <c r="H230" s="8" t="n">
        <v>3</v>
      </c>
      <c r="I230" s="8" t="n">
        <v>11</v>
      </c>
      <c r="J230" s="8" t="n">
        <v>1</v>
      </c>
      <c r="K230" s="8" t="n">
        <v>0</v>
      </c>
      <c r="L230" s="8" t="n">
        <v>1</v>
      </c>
      <c r="M230" s="8" t="n">
        <v>2</v>
      </c>
      <c r="N230" s="8" t="n">
        <v>2</v>
      </c>
      <c r="O230" s="8" t="n">
        <v>11</v>
      </c>
      <c r="P230" s="8" t="n">
        <v>1</v>
      </c>
      <c r="Q230" s="8" t="inlineStr">
        <is>
          <t>2026-03-06</t>
        </is>
      </c>
      <c r="R230" s="8" t="inlineStr">
        <is>
          <t>MIR</t>
        </is>
      </c>
      <c r="S230" s="8" t="inlineStr">
        <is>
          <t>Bind_Brimstone,Raze,Skye,Viper,Yoru</t>
        </is>
      </c>
    </row>
    <row r="231">
      <c r="A231" s="12" t="inlineStr">
        <is>
          <t>8c75c9a6-60b0-4226-99e0-6b5fc28c5711</t>
        </is>
      </c>
      <c r="B231" s="12" t="inlineStr">
        <is>
          <t>Corrode</t>
        </is>
      </c>
      <c r="C231" s="12" t="inlineStr">
        <is>
          <t>MIR</t>
        </is>
      </c>
      <c r="D231" s="12" t="inlineStr">
        <is>
          <t>xuss</t>
        </is>
      </c>
      <c r="E231" s="12" t="inlineStr">
        <is>
          <t>Astra,Breach,Neon,Vyse,Yoru</t>
        </is>
      </c>
      <c r="F231" s="12" t="inlineStr">
        <is>
          <t>Cypher,Fade,Neon,Omen,Waylay</t>
        </is>
      </c>
      <c r="G231" s="12" t="n">
        <v>5</v>
      </c>
      <c r="H231" s="12" t="n">
        <v>13</v>
      </c>
      <c r="I231" s="12" t="n">
        <v>1</v>
      </c>
      <c r="J231" s="12" t="n">
        <v>11</v>
      </c>
      <c r="K231" s="12" t="n">
        <v>1</v>
      </c>
      <c r="L231" s="12" t="n">
        <v>0</v>
      </c>
      <c r="M231" s="12" t="n">
        <v>1</v>
      </c>
      <c r="N231" s="12" t="n">
        <v>11</v>
      </c>
      <c r="O231" s="12" t="n">
        <v>4</v>
      </c>
      <c r="P231" s="12" t="n">
        <v>2</v>
      </c>
      <c r="Q231" s="12" t="inlineStr">
        <is>
          <t>2026-03-06</t>
        </is>
      </c>
      <c r="R231" s="12" t="inlineStr">
        <is>
          <t>xuss</t>
        </is>
      </c>
      <c r="S231" s="12" t="inlineStr">
        <is>
          <t>Corrode_Astra,Breach,Neon,Vyse,Yoru</t>
        </is>
      </c>
    </row>
    <row r="232">
      <c r="A232" s="8" t="inlineStr">
        <is>
          <t>4748be30-95e8-47a4-8550-496ed12e5e6c</t>
        </is>
      </c>
      <c r="B232" s="8" t="inlineStr">
        <is>
          <t>Breeze</t>
        </is>
      </c>
      <c r="C232" s="8" t="inlineStr">
        <is>
          <t>MIR</t>
        </is>
      </c>
      <c r="D232" s="8" t="inlineStr">
        <is>
          <t>FMG</t>
        </is>
      </c>
      <c r="E232" s="8" t="inlineStr">
        <is>
          <t>Jett,Omen,Sova,Viper,Yoru</t>
        </is>
      </c>
      <c r="F232" s="8" t="inlineStr">
        <is>
          <t>Jett,Omen,Sova,Viper,Yoru</t>
        </is>
      </c>
      <c r="G232" s="8" t="n">
        <v>13</v>
      </c>
      <c r="H232" s="8" t="n">
        <v>8</v>
      </c>
      <c r="I232" s="8" t="n">
        <v>8</v>
      </c>
      <c r="J232" s="8" t="n">
        <v>4</v>
      </c>
      <c r="K232" s="8" t="n">
        <v>1</v>
      </c>
      <c r="L232" s="8" t="n">
        <v>1</v>
      </c>
      <c r="M232" s="8" t="n">
        <v>8</v>
      </c>
      <c r="N232" s="8" t="n">
        <v>4</v>
      </c>
      <c r="O232" s="8" t="n">
        <v>5</v>
      </c>
      <c r="P232" s="8" t="n">
        <v>4</v>
      </c>
      <c r="Q232" s="8" t="inlineStr">
        <is>
          <t>2026-03-06</t>
        </is>
      </c>
      <c r="R232" s="8" t="inlineStr">
        <is>
          <t>MIR</t>
        </is>
      </c>
      <c r="S232" s="8" t="inlineStr">
        <is>
          <t>Breeze_Jett,Omen,Sova,Viper,Yoru</t>
        </is>
      </c>
    </row>
    <row r="233">
      <c r="A233" s="12" t="inlineStr">
        <is>
          <t>3a2f47c9-684d-4bc2-8ebd-6fbd10cf72b3</t>
        </is>
      </c>
      <c r="B233" s="12" t="inlineStr">
        <is>
          <t>Abyss</t>
        </is>
      </c>
      <c r="C233" s="12" t="inlineStr">
        <is>
          <t>MIR</t>
        </is>
      </c>
      <c r="D233" s="12" t="inlineStr">
        <is>
          <t>CTRL</t>
        </is>
      </c>
      <c r="E233" s="12" t="inlineStr">
        <is>
          <t>Astra,Sova,Veto,Waylay,Yoru</t>
        </is>
      </c>
      <c r="F233" s="12" t="inlineStr">
        <is>
          <t>Astra,KAY/O,Sova,Veto,Waylay</t>
        </is>
      </c>
      <c r="G233" s="12" t="n">
        <v>13</v>
      </c>
      <c r="H233" s="12" t="n">
        <v>5</v>
      </c>
      <c r="I233" s="12" t="n">
        <v>9</v>
      </c>
      <c r="J233" s="12" t="n">
        <v>3</v>
      </c>
      <c r="K233" s="12" t="n">
        <v>1</v>
      </c>
      <c r="L233" s="12" t="n">
        <v>1</v>
      </c>
      <c r="M233" s="12" t="n">
        <v>9</v>
      </c>
      <c r="N233" s="12" t="n">
        <v>3</v>
      </c>
      <c r="O233" s="12" t="n">
        <v>4</v>
      </c>
      <c r="P233" s="12" t="n">
        <v>2</v>
      </c>
      <c r="Q233" s="12" t="inlineStr">
        <is>
          <t>2026-03-02</t>
        </is>
      </c>
      <c r="R233" s="12" t="inlineStr">
        <is>
          <t>MIR</t>
        </is>
      </c>
      <c r="S233" s="12" t="inlineStr">
        <is>
          <t>Abyss_Astra,Sova,Veto,Waylay,Yoru</t>
        </is>
      </c>
    </row>
    <row r="234">
      <c r="A234" s="8" t="inlineStr">
        <is>
          <t>aaa94151-0d35-497e-be03-da2fcf9bb7c4</t>
        </is>
      </c>
      <c r="B234" s="8" t="inlineStr">
        <is>
          <t>Bind</t>
        </is>
      </c>
      <c r="C234" s="8" t="inlineStr">
        <is>
          <t>MIR</t>
        </is>
      </c>
      <c r="D234" s="8" t="inlineStr">
        <is>
          <t>BONK</t>
        </is>
      </c>
      <c r="E234" s="8" t="inlineStr">
        <is>
          <t>Brimstone,Raze,Skye,Viper,Yoru</t>
        </is>
      </c>
      <c r="F234" s="8" t="inlineStr">
        <is>
          <t>Brimstone,Fade,Gekko,Viper,Waylay</t>
        </is>
      </c>
      <c r="G234" s="8" t="n">
        <v>13</v>
      </c>
      <c r="H234" s="8" t="n">
        <v>8</v>
      </c>
      <c r="I234" s="8" t="n">
        <v>6</v>
      </c>
      <c r="J234" s="8" t="n">
        <v>6</v>
      </c>
      <c r="K234" s="8" t="n">
        <v>1</v>
      </c>
      <c r="L234" s="8" t="n">
        <v>0</v>
      </c>
      <c r="M234" s="8" t="n">
        <v>7</v>
      </c>
      <c r="N234" s="8" t="n">
        <v>2</v>
      </c>
      <c r="O234" s="8" t="n">
        <v>6</v>
      </c>
      <c r="P234" s="8" t="n">
        <v>6</v>
      </c>
      <c r="Q234" s="8" t="inlineStr">
        <is>
          <t>2026-03-02</t>
        </is>
      </c>
      <c r="R234" s="8" t="inlineStr">
        <is>
          <t>MIR</t>
        </is>
      </c>
      <c r="S234" s="8" t="inlineStr">
        <is>
          <t>Bind_Brimstone,Raze,Skye,Viper,Yoru</t>
        </is>
      </c>
    </row>
    <row r="235">
      <c r="A235" s="12" t="inlineStr">
        <is>
          <t>7c8fe3a1-cbfb-4048-94d6-185de119b851</t>
        </is>
      </c>
      <c r="B235" s="12" t="inlineStr">
        <is>
          <t>Bind</t>
        </is>
      </c>
      <c r="C235" s="12" t="inlineStr">
        <is>
          <t>MIR</t>
        </is>
      </c>
      <c r="D235" s="12" t="inlineStr">
        <is>
          <t>VR2</t>
        </is>
      </c>
      <c r="E235" s="12" t="inlineStr">
        <is>
          <t>Brimstone,Raze,Skye,Viper,Yoru</t>
        </is>
      </c>
      <c r="F235" s="12" t="inlineStr">
        <is>
          <t>Brimstone,Fade,Viper,Waylay,Yoru</t>
        </is>
      </c>
      <c r="G235" s="12" t="n">
        <v>0</v>
      </c>
      <c r="H235" s="12" t="n">
        <v>13</v>
      </c>
      <c r="I235" s="12" t="n">
        <v>0</v>
      </c>
      <c r="J235" s="12" t="n">
        <v>12</v>
      </c>
      <c r="K235" s="12" t="n">
        <v>0</v>
      </c>
      <c r="L235" s="12" t="n">
        <v>0</v>
      </c>
      <c r="M235" s="12" t="n">
        <v>0</v>
      </c>
      <c r="N235" s="12" t="n">
        <v>12</v>
      </c>
      <c r="O235" s="12" t="n">
        <v>0</v>
      </c>
      <c r="P235" s="12" t="n">
        <v>1</v>
      </c>
      <c r="Q235" s="12" t="inlineStr">
        <is>
          <t>2026-03-01</t>
        </is>
      </c>
      <c r="R235" s="12" t="inlineStr">
        <is>
          <t>VR2</t>
        </is>
      </c>
      <c r="S235" s="12" t="inlineStr">
        <is>
          <t>Bind_Brimstone,Raze,Skye,Viper,Yoru</t>
        </is>
      </c>
    </row>
    <row r="236">
      <c r="A236" s="8" t="inlineStr">
        <is>
          <t>644c9b2b-aa2e-4dab-9343-477646302aeb</t>
        </is>
      </c>
      <c r="B236" s="8" t="inlineStr">
        <is>
          <t>Breeze</t>
        </is>
      </c>
      <c r="C236" s="8" t="inlineStr">
        <is>
          <t>MIR</t>
        </is>
      </c>
      <c r="D236" s="8" t="inlineStr">
        <is>
          <t>VR2</t>
        </is>
      </c>
      <c r="E236" s="8" t="inlineStr">
        <is>
          <t>Jett,Omen,Sova,Viper,Yoru</t>
        </is>
      </c>
      <c r="F236" s="8" t="inlineStr">
        <is>
          <t>Astra,Neon,Sova,Viper,Yoru</t>
        </is>
      </c>
      <c r="G236" s="8" t="n">
        <v>10</v>
      </c>
      <c r="H236" s="8" t="n">
        <v>13</v>
      </c>
      <c r="I236" s="8" t="n">
        <v>6</v>
      </c>
      <c r="J236" s="8" t="n">
        <v>6</v>
      </c>
      <c r="K236" s="8" t="n">
        <v>0</v>
      </c>
      <c r="L236" s="8" t="n">
        <v>0</v>
      </c>
      <c r="M236" s="8" t="n">
        <v>6</v>
      </c>
      <c r="N236" s="8" t="n">
        <v>6</v>
      </c>
      <c r="O236" s="8" t="n">
        <v>4</v>
      </c>
      <c r="P236" s="8" t="n">
        <v>7</v>
      </c>
      <c r="Q236" s="8" t="inlineStr">
        <is>
          <t>2026-03-01</t>
        </is>
      </c>
      <c r="R236" s="8" t="inlineStr">
        <is>
          <t>VR2</t>
        </is>
      </c>
      <c r="S236" s="8" t="inlineStr">
        <is>
          <t>Breeze_Jett,Omen,Sova,Viper,Yoru</t>
        </is>
      </c>
    </row>
    <row r="237">
      <c r="A237" s="12" t="inlineStr">
        <is>
          <t>150bbdee-1508-455f-b7d6-cf9e6ddca634</t>
        </is>
      </c>
      <c r="B237" s="12" t="inlineStr">
        <is>
          <t>Haven</t>
        </is>
      </c>
      <c r="C237" s="12" t="inlineStr">
        <is>
          <t>MIR</t>
        </is>
      </c>
      <c r="D237" s="12" t="inlineStr">
        <is>
          <t>VR2</t>
        </is>
      </c>
      <c r="E237" s="12" t="inlineStr">
        <is>
          <t>Cypher,Neon,Omen,Sova,Yoru</t>
        </is>
      </c>
      <c r="F237" s="12" t="inlineStr">
        <is>
          <t>Killjoy,Omen,Sova,Waylay,Yoru</t>
        </is>
      </c>
      <c r="G237" s="12" t="n">
        <v>14</v>
      </c>
      <c r="H237" s="12" t="n">
        <v>12</v>
      </c>
      <c r="I237" s="12" t="n">
        <v>9</v>
      </c>
      <c r="J237" s="12" t="n">
        <v>3</v>
      </c>
      <c r="K237" s="12" t="n">
        <v>1</v>
      </c>
      <c r="L237" s="12" t="n">
        <v>0</v>
      </c>
      <c r="M237" s="12" t="n">
        <v>10</v>
      </c>
      <c r="N237" s="12" t="n">
        <v>3</v>
      </c>
      <c r="O237" s="12" t="n">
        <v>4</v>
      </c>
      <c r="P237" s="12" t="n">
        <v>9</v>
      </c>
      <c r="Q237" s="12" t="inlineStr">
        <is>
          <t>2026-03-01</t>
        </is>
      </c>
      <c r="R237" s="12" t="inlineStr">
        <is>
          <t>MIR</t>
        </is>
      </c>
      <c r="S237" s="12" t="inlineStr">
        <is>
          <t>Haven_Cypher,Neon,Omen,Sova,Yoru</t>
        </is>
      </c>
    </row>
    <row r="238">
      <c r="A238" s="8" t="inlineStr">
        <is>
          <t>07929657-40cb-4b1d-954c-dabe775f7145</t>
        </is>
      </c>
      <c r="B238" s="8" t="inlineStr">
        <is>
          <t>Haven</t>
        </is>
      </c>
      <c r="C238" s="8" t="inlineStr">
        <is>
          <t>Barça eSports</t>
        </is>
      </c>
      <c r="D238" s="8" t="inlineStr">
        <is>
          <t>DSY</t>
        </is>
      </c>
      <c r="E238" s="8" t="inlineStr">
        <is>
          <t>Killjoy,Neon,Omen,Sova,Viper</t>
        </is>
      </c>
      <c r="F238" s="8" t="inlineStr">
        <is>
          <t>Killjoy,Neon,Omen,Sova,Viper</t>
        </is>
      </c>
      <c r="G238" s="8" t="n">
        <v>13</v>
      </c>
      <c r="H238" s="8" t="n">
        <v>2</v>
      </c>
      <c r="I238" s="8" t="n">
        <v>10</v>
      </c>
      <c r="J238" s="8" t="n">
        <v>2</v>
      </c>
      <c r="K238" s="8" t="n">
        <v>1</v>
      </c>
      <c r="L238" s="8" t="n">
        <v>1</v>
      </c>
      <c r="M238" s="8" t="n">
        <v>3</v>
      </c>
      <c r="N238" s="8" t="n">
        <v>0</v>
      </c>
      <c r="O238" s="8" t="n">
        <v>10</v>
      </c>
      <c r="P238" s="8" t="n">
        <v>2</v>
      </c>
      <c r="Q238" s="8" t="inlineStr">
        <is>
          <t>2026-03-08</t>
        </is>
      </c>
      <c r="R238" s="8" t="inlineStr">
        <is>
          <t>Barça eSports</t>
        </is>
      </c>
      <c r="S238" s="8" t="inlineStr">
        <is>
          <t>Haven_Killjoy,Neon,Omen,Sova,Viper</t>
        </is>
      </c>
    </row>
    <row r="239">
      <c r="A239" s="12" t="inlineStr">
        <is>
          <t>d04e223f-2a58-4b6c-9941-28df141feb1b</t>
        </is>
      </c>
      <c r="B239" s="12" t="inlineStr">
        <is>
          <t>Pearl</t>
        </is>
      </c>
      <c r="C239" s="12" t="inlineStr">
        <is>
          <t>Barça eSports</t>
        </is>
      </c>
      <c r="D239" s="12" t="inlineStr">
        <is>
          <t>DSY</t>
        </is>
      </c>
      <c r="E239" s="12" t="inlineStr">
        <is>
          <t>Astra,Killjoy,Sova,Tejo,Waylay</t>
        </is>
      </c>
      <c r="F239" s="12" t="inlineStr">
        <is>
          <t>Astra,Cypher,Neon,Sova,Yoru</t>
        </is>
      </c>
      <c r="G239" s="12" t="n">
        <v>13</v>
      </c>
      <c r="H239" s="12" t="n">
        <v>6</v>
      </c>
      <c r="I239" s="12" t="n">
        <v>6</v>
      </c>
      <c r="J239" s="12" t="n">
        <v>6</v>
      </c>
      <c r="K239" s="12" t="n">
        <v>0</v>
      </c>
      <c r="L239" s="12" t="n">
        <v>1</v>
      </c>
      <c r="M239" s="12" t="n">
        <v>6</v>
      </c>
      <c r="N239" s="12" t="n">
        <v>6</v>
      </c>
      <c r="O239" s="12" t="n">
        <v>7</v>
      </c>
      <c r="P239" s="12" t="n">
        <v>0</v>
      </c>
      <c r="Q239" s="12" t="inlineStr">
        <is>
          <t>2026-03-08</t>
        </is>
      </c>
      <c r="R239" s="12" t="inlineStr">
        <is>
          <t>Barça eSports</t>
        </is>
      </c>
      <c r="S239" s="12" t="inlineStr">
        <is>
          <t>Pearl_Astra,Killjoy,Sova,Tejo,Waylay</t>
        </is>
      </c>
    </row>
    <row r="240">
      <c r="A240" s="8" t="inlineStr">
        <is>
          <t>ca81694a-c299-45a2-b897-e0c9820c8cd1</t>
        </is>
      </c>
      <c r="B240" s="8" t="inlineStr">
        <is>
          <t>Breeze</t>
        </is>
      </c>
      <c r="C240" s="8" t="inlineStr">
        <is>
          <t>Barça eSports</t>
        </is>
      </c>
      <c r="D240" s="8" t="inlineStr">
        <is>
          <t>DSY</t>
        </is>
      </c>
      <c r="E240" s="8" t="inlineStr">
        <is>
          <t>Astra,Neon,Sova,Viper,Yoru</t>
        </is>
      </c>
      <c r="F240" s="8" t="inlineStr">
        <is>
          <t>Astra,Neon,Sova,Viper,Yoru</t>
        </is>
      </c>
      <c r="G240" s="8" t="n">
        <v>13</v>
      </c>
      <c r="H240" s="8" t="n">
        <v>5</v>
      </c>
      <c r="I240" s="8" t="n">
        <v>8</v>
      </c>
      <c r="J240" s="8" t="n">
        <v>4</v>
      </c>
      <c r="K240" s="8" t="n">
        <v>1</v>
      </c>
      <c r="L240" s="8" t="n">
        <v>0</v>
      </c>
      <c r="M240" s="8" t="n">
        <v>5</v>
      </c>
      <c r="N240" s="8" t="n">
        <v>1</v>
      </c>
      <c r="O240" s="8" t="n">
        <v>8</v>
      </c>
      <c r="P240" s="8" t="n">
        <v>4</v>
      </c>
      <c r="Q240" s="8" t="inlineStr">
        <is>
          <t>2026-03-08</t>
        </is>
      </c>
      <c r="R240" s="8" t="inlineStr">
        <is>
          <t>Barça eSports</t>
        </is>
      </c>
      <c r="S240" s="8" t="inlineStr">
        <is>
          <t>Breeze_Astra,Neon,Sova,Viper,Yoru</t>
        </is>
      </c>
    </row>
    <row r="241">
      <c r="A241" s="12" t="inlineStr">
        <is>
          <t>1bb32ad3-e532-4bb1-ae01-e460a8771a0f</t>
        </is>
      </c>
      <c r="B241" s="12" t="inlineStr">
        <is>
          <t>Split</t>
        </is>
      </c>
      <c r="C241" s="12" t="inlineStr">
        <is>
          <t>Barça eSports</t>
        </is>
      </c>
      <c r="D241" s="12" t="inlineStr">
        <is>
          <t>DSY</t>
        </is>
      </c>
      <c r="E241" s="12" t="inlineStr">
        <is>
          <t>Breach,Omen,Skye,Viper,Waylay</t>
        </is>
      </c>
      <c r="F241" s="12" t="inlineStr">
        <is>
          <t>Fade,Omen,Raze,Viper,Yoru</t>
        </is>
      </c>
      <c r="G241" s="12" t="n">
        <v>13</v>
      </c>
      <c r="H241" s="12" t="n">
        <v>15</v>
      </c>
      <c r="I241" s="12" t="n">
        <v>6</v>
      </c>
      <c r="J241" s="12" t="n">
        <v>6</v>
      </c>
      <c r="K241" s="12" t="n">
        <v>1</v>
      </c>
      <c r="L241" s="12" t="n">
        <v>1</v>
      </c>
      <c r="M241" s="12" t="n">
        <v>7</v>
      </c>
      <c r="N241" s="12" t="n">
        <v>7</v>
      </c>
      <c r="O241" s="12" t="n">
        <v>6</v>
      </c>
      <c r="P241" s="12" t="n">
        <v>8</v>
      </c>
      <c r="Q241" s="12" t="inlineStr">
        <is>
          <t>2026-03-08</t>
        </is>
      </c>
      <c r="R241" s="12" t="inlineStr">
        <is>
          <t>DSY</t>
        </is>
      </c>
      <c r="S241" s="12" t="inlineStr">
        <is>
          <t>Split_Breach,Omen,Skye,Viper,Waylay</t>
        </is>
      </c>
    </row>
    <row r="242">
      <c r="A242" s="8" t="inlineStr">
        <is>
          <t>a049ead3-f3d4-4110-8ba7-918500507548</t>
        </is>
      </c>
      <c r="B242" s="8" t="inlineStr">
        <is>
          <t>Bind</t>
        </is>
      </c>
      <c r="C242" s="8" t="inlineStr">
        <is>
          <t>Barça eSports</t>
        </is>
      </c>
      <c r="D242" s="8" t="inlineStr">
        <is>
          <t>UCAM</t>
        </is>
      </c>
      <c r="E242" s="8" t="inlineStr">
        <is>
          <t>Brimstone,Neon,Skye,Viper,Waylay</t>
        </is>
      </c>
      <c r="F242" s="8" t="inlineStr">
        <is>
          <t>Brimstone,Chamber,Raze,Skye,Viper</t>
        </is>
      </c>
      <c r="G242" s="8" t="n">
        <v>13</v>
      </c>
      <c r="H242" s="8" t="n">
        <v>9</v>
      </c>
      <c r="I242" s="8" t="n">
        <v>7</v>
      </c>
      <c r="J242" s="8" t="n">
        <v>5</v>
      </c>
      <c r="K242" s="8" t="n">
        <v>1</v>
      </c>
      <c r="L242" s="8" t="n">
        <v>1</v>
      </c>
      <c r="M242" s="8" t="n">
        <v>7</v>
      </c>
      <c r="N242" s="8" t="n">
        <v>5</v>
      </c>
      <c r="O242" s="8" t="n">
        <v>6</v>
      </c>
      <c r="P242" s="8" t="n">
        <v>4</v>
      </c>
      <c r="Q242" s="8" t="inlineStr">
        <is>
          <t>2026-03-07</t>
        </is>
      </c>
      <c r="R242" s="8" t="inlineStr">
        <is>
          <t>Barça eSports</t>
        </is>
      </c>
      <c r="S242" s="8" t="inlineStr">
        <is>
          <t>Bind_Brimstone,Neon,Skye,Viper,Waylay</t>
        </is>
      </c>
    </row>
    <row r="243">
      <c r="A243" s="12" t="inlineStr">
        <is>
          <t>4e05043b-152b-4588-99c5-1b0613a74c9d</t>
        </is>
      </c>
      <c r="B243" s="12" t="inlineStr">
        <is>
          <t>Corrode</t>
        </is>
      </c>
      <c r="C243" s="12" t="inlineStr">
        <is>
          <t>Barça eSports</t>
        </is>
      </c>
      <c r="D243" s="12" t="inlineStr">
        <is>
          <t>UCAM</t>
        </is>
      </c>
      <c r="E243" s="12" t="inlineStr">
        <is>
          <t>Fade,Neon,Omen,Tejo,Viper</t>
        </is>
      </c>
      <c r="F243" s="12" t="inlineStr">
        <is>
          <t>Fade,Omen,Sage,Viper,Waylay</t>
        </is>
      </c>
      <c r="G243" s="12" t="n">
        <v>13</v>
      </c>
      <c r="H243" s="12" t="n">
        <v>10</v>
      </c>
      <c r="I243" s="12" t="n">
        <v>8</v>
      </c>
      <c r="J243" s="12" t="n">
        <v>4</v>
      </c>
      <c r="K243" s="12" t="n">
        <v>1</v>
      </c>
      <c r="L243" s="12" t="n">
        <v>1</v>
      </c>
      <c r="M243" s="12" t="n">
        <v>5</v>
      </c>
      <c r="N243" s="12" t="n">
        <v>6</v>
      </c>
      <c r="O243" s="12" t="n">
        <v>8</v>
      </c>
      <c r="P243" s="12" t="n">
        <v>4</v>
      </c>
      <c r="Q243" s="12" t="inlineStr">
        <is>
          <t>2026-03-07</t>
        </is>
      </c>
      <c r="R243" s="12" t="inlineStr">
        <is>
          <t>Barça eSports</t>
        </is>
      </c>
      <c r="S243" s="12" t="inlineStr">
        <is>
          <t>Corrode_Fade,Neon,Omen,Tejo,Viper</t>
        </is>
      </c>
    </row>
    <row r="244">
      <c r="A244" s="8" t="inlineStr">
        <is>
          <t>d548afca-adf6-4b53-9f5e-487498423b5e</t>
        </is>
      </c>
      <c r="B244" s="8" t="inlineStr">
        <is>
          <t>Haven</t>
        </is>
      </c>
      <c r="C244" s="8" t="inlineStr">
        <is>
          <t>Barça eSports</t>
        </is>
      </c>
      <c r="D244" s="8" t="inlineStr">
        <is>
          <t>NOVO</t>
        </is>
      </c>
      <c r="E244" s="8" t="inlineStr">
        <is>
          <t>Killjoy,Neon,Sova,Viper</t>
        </is>
      </c>
      <c r="F244" s="8" t="inlineStr">
        <is>
          <t>Killjoy,Neon,Omen,Omen,Sova,Viper</t>
        </is>
      </c>
      <c r="G244" s="8" t="n">
        <v>13</v>
      </c>
      <c r="H244" s="8" t="n">
        <v>4</v>
      </c>
      <c r="I244" s="8" t="n">
        <v>9</v>
      </c>
      <c r="J244" s="8" t="n">
        <v>3</v>
      </c>
      <c r="K244" s="8" t="n">
        <v>1</v>
      </c>
      <c r="L244" s="8" t="n">
        <v>1</v>
      </c>
      <c r="M244" s="8" t="n">
        <v>4</v>
      </c>
      <c r="N244" s="8" t="n">
        <v>1</v>
      </c>
      <c r="O244" s="8" t="n">
        <v>9</v>
      </c>
      <c r="P244" s="8" t="n">
        <v>3</v>
      </c>
      <c r="Q244" s="8" t="inlineStr">
        <is>
          <t>2026-03-01</t>
        </is>
      </c>
      <c r="R244" s="8" t="inlineStr">
        <is>
          <t>Barça eSports</t>
        </is>
      </c>
      <c r="S244" s="8" t="inlineStr">
        <is>
          <t>Haven_Killjoy,Neon,Sova,Viper</t>
        </is>
      </c>
    </row>
    <row r="245">
      <c r="A245" s="12" t="inlineStr">
        <is>
          <t>7b5f51de-8831-4f14-8a2f-608fcf69f848</t>
        </is>
      </c>
      <c r="B245" s="12" t="inlineStr">
        <is>
          <t>Pearl</t>
        </is>
      </c>
      <c r="C245" s="12" t="inlineStr">
        <is>
          <t>Barça eSports</t>
        </is>
      </c>
      <c r="D245" s="12" t="inlineStr">
        <is>
          <t>NOVO</t>
        </is>
      </c>
      <c r="E245" s="12" t="inlineStr">
        <is>
          <t>Killjoy,Sova,Tejo,Waylay</t>
        </is>
      </c>
      <c r="F245" s="12" t="inlineStr">
        <is>
          <t>Astra,Astra,Chamber,Neon,Skye,Sova</t>
        </is>
      </c>
      <c r="G245" s="12" t="n">
        <v>12</v>
      </c>
      <c r="H245" s="12" t="n">
        <v>14</v>
      </c>
      <c r="I245" s="12" t="n">
        <v>3</v>
      </c>
      <c r="J245" s="12" t="n">
        <v>9</v>
      </c>
      <c r="K245" s="12" t="n">
        <v>0</v>
      </c>
      <c r="L245" s="12" t="n">
        <v>1</v>
      </c>
      <c r="M245" s="12" t="n">
        <v>3</v>
      </c>
      <c r="N245" s="12" t="n">
        <v>10</v>
      </c>
      <c r="O245" s="12" t="n">
        <v>9</v>
      </c>
      <c r="P245" s="12" t="n">
        <v>4</v>
      </c>
      <c r="Q245" s="12" t="inlineStr">
        <is>
          <t>2026-03-01</t>
        </is>
      </c>
      <c r="R245" s="12" t="inlineStr">
        <is>
          <t>NOVO</t>
        </is>
      </c>
      <c r="S245" s="12" t="inlineStr">
        <is>
          <t>Pearl_Killjoy,Sova,Tejo,Waylay</t>
        </is>
      </c>
    </row>
    <row r="246">
      <c r="A246" s="8" t="inlineStr">
        <is>
          <t>2a1ebc18-4f1c-4e02-8a58-f43209bdb45e</t>
        </is>
      </c>
      <c r="B246" s="8" t="inlineStr">
        <is>
          <t>Split</t>
        </is>
      </c>
      <c r="C246" s="8" t="inlineStr">
        <is>
          <t>Barça eSports</t>
        </is>
      </c>
      <c r="D246" s="8" t="inlineStr">
        <is>
          <t>NOVO</t>
        </is>
      </c>
      <c r="E246" s="8" t="inlineStr">
        <is>
          <t>Breach,Skye,Viper,Waylay</t>
        </is>
      </c>
      <c r="F246" s="8" t="inlineStr">
        <is>
          <t>Chamber,Omen,Omen,Skye,Viper,Waylay</t>
        </is>
      </c>
      <c r="G246" s="8" t="n">
        <v>13</v>
      </c>
      <c r="H246" s="8" t="n">
        <v>9</v>
      </c>
      <c r="I246" s="8" t="n">
        <v>6</v>
      </c>
      <c r="J246" s="8" t="n">
        <v>6</v>
      </c>
      <c r="K246" s="8" t="n">
        <v>0</v>
      </c>
      <c r="L246" s="8" t="n">
        <v>0</v>
      </c>
      <c r="M246" s="8" t="n">
        <v>7</v>
      </c>
      <c r="N246" s="8" t="n">
        <v>3</v>
      </c>
      <c r="O246" s="8" t="n">
        <v>6</v>
      </c>
      <c r="P246" s="8" t="n">
        <v>6</v>
      </c>
      <c r="Q246" s="8" t="inlineStr">
        <is>
          <t>2026-03-01</t>
        </is>
      </c>
      <c r="R246" s="8" t="inlineStr">
        <is>
          <t>Barça eSports</t>
        </is>
      </c>
      <c r="S246" s="8" t="inlineStr">
        <is>
          <t>Split_Breach,Skye,Viper,Waylay</t>
        </is>
      </c>
    </row>
    <row r="247">
      <c r="A247" s="12" t="inlineStr">
        <is>
          <t>5362c514-5966-4d91-be48-e9ede844ed15</t>
        </is>
      </c>
      <c r="B247" s="12" t="inlineStr">
        <is>
          <t>Split</t>
        </is>
      </c>
      <c r="C247" s="12" t="inlineStr">
        <is>
          <t>Barça eSports</t>
        </is>
      </c>
      <c r="D247" s="12" t="inlineStr">
        <is>
          <t>OTK</t>
        </is>
      </c>
      <c r="E247" s="12" t="inlineStr">
        <is>
          <t>Breach,Skye,Viper,Waylay</t>
        </is>
      </c>
      <c r="F247" s="12" t="inlineStr">
        <is>
          <t>Fade,Neon,Omen,Omen,Viper,Yoru</t>
        </is>
      </c>
      <c r="G247" s="12" t="n">
        <v>13</v>
      </c>
      <c r="H247" s="12" t="n">
        <v>7</v>
      </c>
      <c r="I247" s="12" t="n">
        <v>8</v>
      </c>
      <c r="J247" s="12" t="n">
        <v>4</v>
      </c>
      <c r="K247" s="12" t="n">
        <v>1</v>
      </c>
      <c r="L247" s="12" t="n">
        <v>0</v>
      </c>
      <c r="M247" s="12" t="n">
        <v>8</v>
      </c>
      <c r="N247" s="12" t="n">
        <v>4</v>
      </c>
      <c r="O247" s="12" t="n">
        <v>5</v>
      </c>
      <c r="P247" s="12" t="n">
        <v>3</v>
      </c>
      <c r="Q247" s="12" t="inlineStr">
        <is>
          <t>2026-02-28</t>
        </is>
      </c>
      <c r="R247" s="12" t="inlineStr">
        <is>
          <t>Barça eSports</t>
        </is>
      </c>
      <c r="S247" s="12" t="inlineStr">
        <is>
          <t>Split_Breach,Skye,Viper,Waylay</t>
        </is>
      </c>
    </row>
    <row r="248">
      <c r="A248" s="8" t="inlineStr">
        <is>
          <t>c441adfe-9fae-4b03-b4ae-1b2c80509e5e</t>
        </is>
      </c>
      <c r="B248" s="8" t="inlineStr">
        <is>
          <t>Pearl</t>
        </is>
      </c>
      <c r="C248" s="8" t="inlineStr">
        <is>
          <t>Barça eSports</t>
        </is>
      </c>
      <c r="D248" s="8" t="inlineStr">
        <is>
          <t>OTK</t>
        </is>
      </c>
      <c r="E248" s="8" t="inlineStr">
        <is>
          <t>Killjoy,Sova,Tejo,Waylay</t>
        </is>
      </c>
      <c r="F248" s="8" t="inlineStr">
        <is>
          <t>Astra,Astra,Chamber,Neon,Skye,Tejo</t>
        </is>
      </c>
      <c r="G248" s="8" t="n">
        <v>13</v>
      </c>
      <c r="H248" s="8" t="n">
        <v>2</v>
      </c>
      <c r="I248" s="8" t="n">
        <v>10</v>
      </c>
      <c r="J248" s="8" t="n">
        <v>2</v>
      </c>
      <c r="K248" s="8" t="n">
        <v>1</v>
      </c>
      <c r="L248" s="8" t="n">
        <v>1</v>
      </c>
      <c r="M248" s="8" t="n">
        <v>3</v>
      </c>
      <c r="N248" s="8" t="n">
        <v>0</v>
      </c>
      <c r="O248" s="8" t="n">
        <v>10</v>
      </c>
      <c r="P248" s="8" t="n">
        <v>2</v>
      </c>
      <c r="Q248" s="8" t="inlineStr">
        <is>
          <t>2026-02-28</t>
        </is>
      </c>
      <c r="R248" s="8" t="inlineStr">
        <is>
          <t>Barça eSports</t>
        </is>
      </c>
      <c r="S248" s="8" t="inlineStr">
        <is>
          <t>Pearl_Killjoy,Sova,Tejo,Waylay</t>
        </is>
      </c>
    </row>
    <row r="249">
      <c r="A249" s="12" t="inlineStr">
        <is>
          <t>ac31e14d-fc0f-47a2-9e2b-b1b0d798cb3a</t>
        </is>
      </c>
      <c r="B249" s="12" t="inlineStr">
        <is>
          <t>Breeze</t>
        </is>
      </c>
      <c r="C249" s="12" t="inlineStr">
        <is>
          <t>Barça eSports</t>
        </is>
      </c>
      <c r="D249" s="12" t="inlineStr">
        <is>
          <t>UCAM</t>
        </is>
      </c>
      <c r="E249" s="12" t="inlineStr">
        <is>
          <t>Astra,Jett,Sova,Viper,Yoru</t>
        </is>
      </c>
      <c r="F249" s="12" t="inlineStr">
        <is>
          <t>Astra,Jett,Sova,Viper,Yoru</t>
        </is>
      </c>
      <c r="G249" s="12" t="n">
        <v>10</v>
      </c>
      <c r="H249" s="12" t="n">
        <v>13</v>
      </c>
      <c r="I249" s="12" t="n">
        <v>7</v>
      </c>
      <c r="J249" s="12" t="n">
        <v>5</v>
      </c>
      <c r="K249" s="12" t="n">
        <v>0</v>
      </c>
      <c r="L249" s="12" t="n">
        <v>1</v>
      </c>
      <c r="M249" s="12" t="n">
        <v>3</v>
      </c>
      <c r="N249" s="12" t="n">
        <v>8</v>
      </c>
      <c r="O249" s="12" t="n">
        <v>7</v>
      </c>
      <c r="P249" s="12" t="n">
        <v>5</v>
      </c>
      <c r="Q249" s="12" t="inlineStr">
        <is>
          <t>2026-02-01</t>
        </is>
      </c>
      <c r="R249" s="12" t="inlineStr">
        <is>
          <t>UCAM</t>
        </is>
      </c>
      <c r="S249" s="12" t="inlineStr">
        <is>
          <t>Breeze_Astra,Jett,Sova,Viper,Yoru</t>
        </is>
      </c>
    </row>
    <row r="250">
      <c r="A250" s="8" t="inlineStr">
        <is>
          <t>a51689d9-4658-4e65-ba73-a87b70063872</t>
        </is>
      </c>
      <c r="B250" s="8" t="inlineStr">
        <is>
          <t>Haven</t>
        </is>
      </c>
      <c r="C250" s="8" t="inlineStr">
        <is>
          <t>Barça eSports</t>
        </is>
      </c>
      <c r="D250" s="8" t="inlineStr">
        <is>
          <t>UCAM</t>
        </is>
      </c>
      <c r="E250" s="8" t="inlineStr">
        <is>
          <t>Killjoy,Neon,Omen,Sova,Viper</t>
        </is>
      </c>
      <c r="F250" s="8" t="inlineStr">
        <is>
          <t>Fade,Killjoy,Omen,Viper,Yoru</t>
        </is>
      </c>
      <c r="G250" s="8" t="n">
        <v>5</v>
      </c>
      <c r="H250" s="8" t="n">
        <v>13</v>
      </c>
      <c r="I250" s="8" t="n">
        <v>4</v>
      </c>
      <c r="J250" s="8" t="n">
        <v>8</v>
      </c>
      <c r="K250" s="8" t="n">
        <v>0</v>
      </c>
      <c r="L250" s="8" t="n">
        <v>1</v>
      </c>
      <c r="M250" s="8" t="n">
        <v>1</v>
      </c>
      <c r="N250" s="8" t="n">
        <v>5</v>
      </c>
      <c r="O250" s="8" t="n">
        <v>4</v>
      </c>
      <c r="P250" s="8" t="n">
        <v>8</v>
      </c>
      <c r="Q250" s="8" t="inlineStr">
        <is>
          <t>2026-02-01</t>
        </is>
      </c>
      <c r="R250" s="8" t="inlineStr">
        <is>
          <t>UCAM</t>
        </is>
      </c>
      <c r="S250" s="8" t="inlineStr">
        <is>
          <t>Haven_Killjoy,Neon,Omen,Sova,Viper</t>
        </is>
      </c>
    </row>
    <row r="251">
      <c r="A251" s="12" t="inlineStr">
        <is>
          <t>a6f96a5c-c380-460e-bf4c-cd79160d65a7</t>
        </is>
      </c>
      <c r="B251" s="12" t="inlineStr">
        <is>
          <t>Corrode</t>
        </is>
      </c>
      <c r="C251" s="12" t="inlineStr">
        <is>
          <t>Barça eSports</t>
        </is>
      </c>
      <c r="D251" s="12" t="inlineStr">
        <is>
          <t>UCAM</t>
        </is>
      </c>
      <c r="E251" s="12" t="inlineStr">
        <is>
          <t>Fade,Neon,Omen,Tejo,Viper</t>
        </is>
      </c>
      <c r="F251" s="12" t="inlineStr">
        <is>
          <t>Fade,Omen,Sage,Viper,Waylay</t>
        </is>
      </c>
      <c r="G251" s="12" t="n">
        <v>13</v>
      </c>
      <c r="H251" s="12" t="n">
        <v>9</v>
      </c>
      <c r="I251" s="12" t="n">
        <v>8</v>
      </c>
      <c r="J251" s="12" t="n">
        <v>4</v>
      </c>
      <c r="K251" s="12" t="n">
        <v>0</v>
      </c>
      <c r="L251" s="12" t="n">
        <v>1</v>
      </c>
      <c r="M251" s="12" t="n">
        <v>5</v>
      </c>
      <c r="N251" s="12" t="n">
        <v>5</v>
      </c>
      <c r="O251" s="12" t="n">
        <v>8</v>
      </c>
      <c r="P251" s="12" t="n">
        <v>4</v>
      </c>
      <c r="Q251" s="12" t="inlineStr">
        <is>
          <t>2026-02-01</t>
        </is>
      </c>
      <c r="R251" s="12" t="inlineStr">
        <is>
          <t>Barça eSports</t>
        </is>
      </c>
      <c r="S251" s="12" t="inlineStr">
        <is>
          <t>Corrode_Fade,Neon,Omen,Tejo,Viper</t>
        </is>
      </c>
    </row>
    <row r="252">
      <c r="A252" s="8" t="inlineStr">
        <is>
          <t>68dc441f-9e2a-4526-a72f-0eb13cb9a81d</t>
        </is>
      </c>
      <c r="B252" s="8" t="inlineStr">
        <is>
          <t>Split</t>
        </is>
      </c>
      <c r="C252" s="8" t="inlineStr">
        <is>
          <t>Barça eSports</t>
        </is>
      </c>
      <c r="D252" s="8" t="inlineStr">
        <is>
          <t>UCAM</t>
        </is>
      </c>
      <c r="E252" s="8" t="inlineStr">
        <is>
          <t>Breach,Omen,Skye,Viper,Waylay</t>
        </is>
      </c>
      <c r="F252" s="8" t="inlineStr">
        <is>
          <t>Fade,Omen,Viper,Waylay,Yoru</t>
        </is>
      </c>
      <c r="G252" s="8" t="n">
        <v>13</v>
      </c>
      <c r="H252" s="8" t="n">
        <v>11</v>
      </c>
      <c r="I252" s="8" t="n">
        <v>7</v>
      </c>
      <c r="J252" s="8" t="n">
        <v>5</v>
      </c>
      <c r="K252" s="8" t="n">
        <v>1</v>
      </c>
      <c r="L252" s="8" t="n">
        <v>0</v>
      </c>
      <c r="M252" s="8" t="n">
        <v>7</v>
      </c>
      <c r="N252" s="8" t="n">
        <v>5</v>
      </c>
      <c r="O252" s="8" t="n">
        <v>6</v>
      </c>
      <c r="P252" s="8" t="n">
        <v>6</v>
      </c>
      <c r="Q252" s="8" t="inlineStr">
        <is>
          <t>2026-02-01</t>
        </is>
      </c>
      <c r="R252" s="8" t="inlineStr">
        <is>
          <t>Barça eSports</t>
        </is>
      </c>
      <c r="S252" s="8" t="inlineStr">
        <is>
          <t>Split_Breach,Omen,Skye,Viper,Waylay</t>
        </is>
      </c>
    </row>
    <row r="253">
      <c r="A253" s="12" t="inlineStr">
        <is>
          <t>6dc3c77d-76e5-43d3-b41d-3830c0a9d73c</t>
        </is>
      </c>
      <c r="B253" s="12" t="inlineStr">
        <is>
          <t>Pearl</t>
        </is>
      </c>
      <c r="C253" s="12" t="inlineStr">
        <is>
          <t>Barça eSports</t>
        </is>
      </c>
      <c r="D253" s="12" t="inlineStr">
        <is>
          <t>UCAM</t>
        </is>
      </c>
      <c r="E253" s="12" t="inlineStr">
        <is>
          <t>Astra,Killjoy,Sova,Tejo,Waylay</t>
        </is>
      </c>
      <c r="F253" s="12" t="inlineStr">
        <is>
          <t>Astra,Fade,Killjoy,Tejo,Yoru</t>
        </is>
      </c>
      <c r="G253" s="12" t="n">
        <v>9</v>
      </c>
      <c r="H253" s="12" t="n">
        <v>13</v>
      </c>
      <c r="I253" s="12" t="n">
        <v>8</v>
      </c>
      <c r="J253" s="12" t="n">
        <v>4</v>
      </c>
      <c r="K253" s="12" t="n">
        <v>0</v>
      </c>
      <c r="L253" s="12" t="n">
        <v>0</v>
      </c>
      <c r="M253" s="12" t="n">
        <v>1</v>
      </c>
      <c r="N253" s="12" t="n">
        <v>9</v>
      </c>
      <c r="O253" s="12" t="n">
        <v>8</v>
      </c>
      <c r="P253" s="12" t="n">
        <v>4</v>
      </c>
      <c r="Q253" s="12" t="inlineStr">
        <is>
          <t>2026-02-01</t>
        </is>
      </c>
      <c r="R253" s="12" t="inlineStr">
        <is>
          <t>UCAM</t>
        </is>
      </c>
      <c r="S253" s="12" t="inlineStr">
        <is>
          <t>Pearl_Astra,Killjoy,Sova,Tejo,Waylay</t>
        </is>
      </c>
    </row>
    <row r="254">
      <c r="A254" s="8" t="inlineStr">
        <is>
          <t>2e352741-d2fe-473c-9a12-9c84b2301cde</t>
        </is>
      </c>
      <c r="B254" s="8" t="inlineStr">
        <is>
          <t>Breeze</t>
        </is>
      </c>
      <c r="C254" s="8" t="inlineStr">
        <is>
          <t>Barça eSports</t>
        </is>
      </c>
      <c r="D254" s="8" t="inlineStr">
        <is>
          <t>UCAM</t>
        </is>
      </c>
      <c r="E254" s="8" t="inlineStr">
        <is>
          <t>Astra,Jett,Sova,Viper,Yoru</t>
        </is>
      </c>
      <c r="F254" s="8" t="inlineStr">
        <is>
          <t>Cypher,Omen,Sova,Viper,Yoru</t>
        </is>
      </c>
      <c r="G254" s="8" t="n">
        <v>13</v>
      </c>
      <c r="H254" s="8" t="n">
        <v>7</v>
      </c>
      <c r="I254" s="8" t="n">
        <v>7</v>
      </c>
      <c r="J254" s="8" t="n">
        <v>5</v>
      </c>
      <c r="K254" s="8" t="n">
        <v>1</v>
      </c>
      <c r="L254" s="8" t="n">
        <v>1</v>
      </c>
      <c r="M254" s="8" t="n">
        <v>7</v>
      </c>
      <c r="N254" s="8" t="n">
        <v>5</v>
      </c>
      <c r="O254" s="8" t="n">
        <v>6</v>
      </c>
      <c r="P254" s="8" t="n">
        <v>2</v>
      </c>
      <c r="Q254" s="8" t="inlineStr">
        <is>
          <t>2026-01-26</t>
        </is>
      </c>
      <c r="R254" s="8" t="inlineStr">
        <is>
          <t>Barça eSports</t>
        </is>
      </c>
      <c r="S254" s="8" t="inlineStr">
        <is>
          <t>Breeze_Astra,Jett,Sova,Viper,Yoru</t>
        </is>
      </c>
    </row>
    <row r="255">
      <c r="A255" s="12" t="inlineStr">
        <is>
          <t>abf82913-a0dd-44e8-9759-eac84a2d8bda</t>
        </is>
      </c>
      <c r="B255" s="12" t="inlineStr">
        <is>
          <t>Bind</t>
        </is>
      </c>
      <c r="C255" s="12" t="inlineStr">
        <is>
          <t>Barça eSports</t>
        </is>
      </c>
      <c r="D255" s="12" t="inlineStr">
        <is>
          <t>UCAM</t>
        </is>
      </c>
      <c r="E255" s="12" t="inlineStr">
        <is>
          <t>Brimstone,Fade,Viper,Waylay,Yoru</t>
        </is>
      </c>
      <c r="F255" s="12" t="inlineStr">
        <is>
          <t>Brimstone,Raze,Skye,Viper,Waylay</t>
        </is>
      </c>
      <c r="G255" s="12" t="n">
        <v>13</v>
      </c>
      <c r="H255" s="12" t="n">
        <v>7</v>
      </c>
      <c r="I255" s="12" t="n">
        <v>8</v>
      </c>
      <c r="J255" s="12" t="n">
        <v>4</v>
      </c>
      <c r="K255" s="12" t="n">
        <v>0</v>
      </c>
      <c r="L255" s="12" t="n">
        <v>1</v>
      </c>
      <c r="M255" s="12" t="n">
        <v>5</v>
      </c>
      <c r="N255" s="12" t="n">
        <v>3</v>
      </c>
      <c r="O255" s="12" t="n">
        <v>8</v>
      </c>
      <c r="P255" s="12" t="n">
        <v>4</v>
      </c>
      <c r="Q255" s="12" t="inlineStr">
        <is>
          <t>2026-01-26</t>
        </is>
      </c>
      <c r="R255" s="12" t="inlineStr">
        <is>
          <t>Barça eSports</t>
        </is>
      </c>
      <c r="S255" s="12" t="inlineStr">
        <is>
          <t>Bind_Brimstone,Fade,Viper,Waylay,Yoru</t>
        </is>
      </c>
    </row>
    <row r="256">
      <c r="A256" s="8" t="inlineStr">
        <is>
          <t>7cd5ae94-9722-45e7-938b-5041182e11fa</t>
        </is>
      </c>
      <c r="B256" s="8" t="inlineStr">
        <is>
          <t>Split</t>
        </is>
      </c>
      <c r="C256" s="8" t="inlineStr">
        <is>
          <t>Barça eSports</t>
        </is>
      </c>
      <c r="D256" s="8" t="inlineStr">
        <is>
          <t>RBT</t>
        </is>
      </c>
      <c r="E256" s="8" t="inlineStr">
        <is>
          <t>Astra,Breach,Skye,Viper,Waylay</t>
        </is>
      </c>
      <c r="F256" s="8" t="inlineStr">
        <is>
          <t>Fade,Omen,Viper,Waylay,Yoru</t>
        </is>
      </c>
      <c r="G256" s="8" t="n">
        <v>13</v>
      </c>
      <c r="H256" s="8" t="n">
        <v>8</v>
      </c>
      <c r="I256" s="8" t="n">
        <v>6</v>
      </c>
      <c r="J256" s="8" t="n">
        <v>6</v>
      </c>
      <c r="K256" s="8" t="n">
        <v>1</v>
      </c>
      <c r="L256" s="8" t="n">
        <v>1</v>
      </c>
      <c r="M256" s="8" t="n">
        <v>7</v>
      </c>
      <c r="N256" s="8" t="n">
        <v>2</v>
      </c>
      <c r="O256" s="8" t="n">
        <v>6</v>
      </c>
      <c r="P256" s="8" t="n">
        <v>6</v>
      </c>
      <c r="Q256" s="8" t="inlineStr">
        <is>
          <t>2026-01-25</t>
        </is>
      </c>
      <c r="R256" s="8" t="inlineStr">
        <is>
          <t>Barça eSports</t>
        </is>
      </c>
      <c r="S256" s="8" t="inlineStr">
        <is>
          <t>Split_Astra,Breach,Skye,Viper,Waylay</t>
        </is>
      </c>
    </row>
    <row r="257">
      <c r="A257" s="12" t="inlineStr">
        <is>
          <t>f74d761b-fae7-43e6-8df2-03e72e325463</t>
        </is>
      </c>
      <c r="B257" s="12" t="inlineStr">
        <is>
          <t>Pearl</t>
        </is>
      </c>
      <c r="C257" s="12" t="inlineStr">
        <is>
          <t>Barça eSports</t>
        </is>
      </c>
      <c r="D257" s="12" t="inlineStr">
        <is>
          <t>RBT</t>
        </is>
      </c>
      <c r="E257" s="12" t="inlineStr">
        <is>
          <t>Astra,Fade,Killjoy,Tejo,Waylay</t>
        </is>
      </c>
      <c r="F257" s="12" t="inlineStr">
        <is>
          <t>Astra,Cypher,Sova,Waylay,Yoru</t>
        </is>
      </c>
      <c r="G257" s="12" t="n">
        <v>11</v>
      </c>
      <c r="H257" s="12" t="n">
        <v>13</v>
      </c>
      <c r="I257" s="12" t="n">
        <v>7</v>
      </c>
      <c r="J257" s="12" t="n">
        <v>5</v>
      </c>
      <c r="K257" s="12" t="n">
        <v>1</v>
      </c>
      <c r="L257" s="12" t="n">
        <v>0</v>
      </c>
      <c r="M257" s="12" t="n">
        <v>4</v>
      </c>
      <c r="N257" s="12" t="n">
        <v>8</v>
      </c>
      <c r="O257" s="12" t="n">
        <v>7</v>
      </c>
      <c r="P257" s="12" t="n">
        <v>5</v>
      </c>
      <c r="Q257" s="12" t="inlineStr">
        <is>
          <t>2026-01-25</t>
        </is>
      </c>
      <c r="R257" s="12" t="inlineStr">
        <is>
          <t>RBT</t>
        </is>
      </c>
      <c r="S257" s="12" t="inlineStr">
        <is>
          <t>Pearl_Astra,Fade,Killjoy,Tejo,Waylay</t>
        </is>
      </c>
    </row>
    <row r="258">
      <c r="A258" s="8" t="inlineStr">
        <is>
          <t>1b231f2b-1fa7-429f-bb33-8f6f60b3091b</t>
        </is>
      </c>
      <c r="B258" s="8" t="inlineStr">
        <is>
          <t>Split</t>
        </is>
      </c>
      <c r="C258" s="8" t="inlineStr">
        <is>
          <t>Barça eSports</t>
        </is>
      </c>
      <c r="D258" s="8" t="inlineStr">
        <is>
          <t>NOVO</t>
        </is>
      </c>
      <c r="E258" s="8" t="inlineStr">
        <is>
          <t>Breach,Fade,Omen,Viper,Waylay</t>
        </is>
      </c>
      <c r="F258" s="8" t="inlineStr">
        <is>
          <t>Chamber,Omen,Skye,Viper,Waylay</t>
        </is>
      </c>
      <c r="G258" s="8" t="n">
        <v>14</v>
      </c>
      <c r="H258" s="8" t="n">
        <v>12</v>
      </c>
      <c r="I258" s="8" t="n">
        <v>4</v>
      </c>
      <c r="J258" s="8" t="n">
        <v>8</v>
      </c>
      <c r="K258" s="8" t="n">
        <v>1</v>
      </c>
      <c r="L258" s="8" t="n">
        <v>1</v>
      </c>
      <c r="M258" s="8" t="n">
        <v>9</v>
      </c>
      <c r="N258" s="8" t="n">
        <v>4</v>
      </c>
      <c r="O258" s="8" t="n">
        <v>5</v>
      </c>
      <c r="P258" s="8" t="n">
        <v>8</v>
      </c>
      <c r="Q258" s="8" t="inlineStr">
        <is>
          <t>2026-01-19</t>
        </is>
      </c>
      <c r="R258" s="8" t="inlineStr">
        <is>
          <t>Barça eSports</t>
        </is>
      </c>
      <c r="S258" s="8" t="inlineStr">
        <is>
          <t>Split_Breach,Fade,Omen,Viper,Waylay</t>
        </is>
      </c>
    </row>
    <row r="259">
      <c r="A259" s="12" t="inlineStr">
        <is>
          <t>82a86765-7476-47be-bb28-ee1e8fa3d38b</t>
        </is>
      </c>
      <c r="B259" s="12" t="inlineStr">
        <is>
          <t>Haven</t>
        </is>
      </c>
      <c r="C259" s="12" t="inlineStr">
        <is>
          <t>Barça eSports</t>
        </is>
      </c>
      <c r="D259" s="12" t="inlineStr">
        <is>
          <t>NOVO</t>
        </is>
      </c>
      <c r="E259" s="12" t="inlineStr">
        <is>
          <t>Killjoy,Neon,Omen,Sova,Viper</t>
        </is>
      </c>
      <c r="F259" s="12" t="inlineStr">
        <is>
          <t>Killjoy,Neon,Omen,Sova,Viper</t>
        </is>
      </c>
      <c r="G259" s="12" t="n">
        <v>13</v>
      </c>
      <c r="H259" s="12" t="n">
        <v>6</v>
      </c>
      <c r="I259" s="12" t="n">
        <v>9</v>
      </c>
      <c r="J259" s="12" t="n">
        <v>3</v>
      </c>
      <c r="K259" s="12" t="n">
        <v>0</v>
      </c>
      <c r="L259" s="12" t="n">
        <v>1</v>
      </c>
      <c r="M259" s="12" t="n">
        <v>4</v>
      </c>
      <c r="N259" s="12" t="n">
        <v>3</v>
      </c>
      <c r="O259" s="12" t="n">
        <v>9</v>
      </c>
      <c r="P259" s="12" t="n">
        <v>3</v>
      </c>
      <c r="Q259" s="12" t="inlineStr">
        <is>
          <t>2026-01-19</t>
        </is>
      </c>
      <c r="R259" s="12" t="inlineStr">
        <is>
          <t>Barça eSports</t>
        </is>
      </c>
      <c r="S259" s="12" t="inlineStr">
        <is>
          <t>Haven_Killjoy,Neon,Omen,Sova,Viper</t>
        </is>
      </c>
    </row>
    <row r="260">
      <c r="A260" s="8" t="inlineStr">
        <is>
          <t>5e1ce326-1cc9-4ef4-be95-112be70c210f</t>
        </is>
      </c>
      <c r="B260" s="8" t="inlineStr">
        <is>
          <t>Bind</t>
        </is>
      </c>
      <c r="C260" s="8" t="inlineStr">
        <is>
          <t>Barça eSports</t>
        </is>
      </c>
      <c r="D260" s="8" t="inlineStr">
        <is>
          <t>OTK</t>
        </is>
      </c>
      <c r="E260" s="8" t="inlineStr">
        <is>
          <t>Brimstone,Fade,Viper,Waylay,Yoru</t>
        </is>
      </c>
      <c r="F260" s="8" t="inlineStr">
        <is>
          <t>Brimstone,Tejo,Viper,Waylay,Yoru</t>
        </is>
      </c>
      <c r="G260" s="8" t="n">
        <v>13</v>
      </c>
      <c r="H260" s="8" t="n">
        <v>6</v>
      </c>
      <c r="I260" s="8" t="n">
        <v>10</v>
      </c>
      <c r="J260" s="8" t="n">
        <v>2</v>
      </c>
      <c r="K260" s="8" t="n">
        <v>1</v>
      </c>
      <c r="L260" s="8" t="n">
        <v>1</v>
      </c>
      <c r="M260" s="8" t="n">
        <v>3</v>
      </c>
      <c r="N260" s="8" t="n">
        <v>4</v>
      </c>
      <c r="O260" s="8" t="n">
        <v>10</v>
      </c>
      <c r="P260" s="8" t="n">
        <v>2</v>
      </c>
      <c r="Q260" s="8" t="inlineStr">
        <is>
          <t>2026-01-18</t>
        </is>
      </c>
      <c r="R260" s="8" t="inlineStr">
        <is>
          <t>Barça eSports</t>
        </is>
      </c>
      <c r="S260" s="8" t="inlineStr">
        <is>
          <t>Bind_Brimstone,Fade,Viper,Waylay,Yoru</t>
        </is>
      </c>
    </row>
    <row r="261">
      <c r="A261" s="12" t="inlineStr">
        <is>
          <t>011e609d-ad54-41dc-ba2c-f3d350ece91e</t>
        </is>
      </c>
      <c r="B261" s="12" t="inlineStr">
        <is>
          <t>Split</t>
        </is>
      </c>
      <c r="C261" s="12" t="inlineStr">
        <is>
          <t>Barça eSports</t>
        </is>
      </c>
      <c r="D261" s="12" t="inlineStr">
        <is>
          <t>OTK</t>
        </is>
      </c>
      <c r="E261" s="12" t="inlineStr">
        <is>
          <t>Breach,Fade,Omen,Viper,Waylay</t>
        </is>
      </c>
      <c r="F261" s="12" t="inlineStr">
        <is>
          <t>Fade,Omen,Viper,Waylay,Yoru</t>
        </is>
      </c>
      <c r="G261" s="12" t="n">
        <v>8</v>
      </c>
      <c r="H261" s="12" t="n">
        <v>13</v>
      </c>
      <c r="I261" s="12" t="n">
        <v>6</v>
      </c>
      <c r="J261" s="12" t="n">
        <v>6</v>
      </c>
      <c r="K261" s="12" t="n">
        <v>0</v>
      </c>
      <c r="L261" s="12" t="n">
        <v>1</v>
      </c>
      <c r="M261" s="12" t="n">
        <v>2</v>
      </c>
      <c r="N261" s="12" t="n">
        <v>7</v>
      </c>
      <c r="O261" s="12" t="n">
        <v>6</v>
      </c>
      <c r="P261" s="12" t="n">
        <v>6</v>
      </c>
      <c r="Q261" s="12" t="inlineStr">
        <is>
          <t>2026-01-18</t>
        </is>
      </c>
      <c r="R261" s="12" t="inlineStr">
        <is>
          <t>OTK</t>
        </is>
      </c>
      <c r="S261" s="12" t="inlineStr">
        <is>
          <t>Split_Breach,Fade,Omen,Viper,Waylay</t>
        </is>
      </c>
    </row>
    <row r="262">
      <c r="A262" s="8" t="inlineStr">
        <is>
          <t>5bc8c57c-bc7a-437b-94bc-2fec4abadeb2</t>
        </is>
      </c>
      <c r="B262" s="8" t="inlineStr">
        <is>
          <t>Pearl</t>
        </is>
      </c>
      <c r="C262" s="8" t="inlineStr">
        <is>
          <t>Barça eSports</t>
        </is>
      </c>
      <c r="D262" s="8" t="inlineStr">
        <is>
          <t>FLK</t>
        </is>
      </c>
      <c r="E262" s="8" t="inlineStr">
        <is>
          <t>Astra,Fade,Killjoy,Tejo,Waylay</t>
        </is>
      </c>
      <c r="F262" s="8" t="inlineStr">
        <is>
          <t>Astra,Jett,KAY/O,Killjoy,Sova</t>
        </is>
      </c>
      <c r="G262" s="8" t="n">
        <v>13</v>
      </c>
      <c r="H262" s="8" t="n">
        <v>11</v>
      </c>
      <c r="I262" s="8" t="n">
        <v>7</v>
      </c>
      <c r="J262" s="8" t="n">
        <v>5</v>
      </c>
      <c r="K262" s="8" t="n">
        <v>0</v>
      </c>
      <c r="L262" s="8" t="n">
        <v>0</v>
      </c>
      <c r="M262" s="8" t="n">
        <v>6</v>
      </c>
      <c r="N262" s="8" t="n">
        <v>6</v>
      </c>
      <c r="O262" s="8" t="n">
        <v>7</v>
      </c>
      <c r="P262" s="8" t="n">
        <v>5</v>
      </c>
      <c r="Q262" s="8" t="inlineStr">
        <is>
          <t>2026-01-13</t>
        </is>
      </c>
      <c r="R262" s="8" t="inlineStr">
        <is>
          <t>Barça eSports</t>
        </is>
      </c>
      <c r="S262" s="8" t="inlineStr">
        <is>
          <t>Pearl_Astra,Fade,Killjoy,Tejo,Waylay</t>
        </is>
      </c>
    </row>
    <row r="263">
      <c r="A263" s="12" t="inlineStr">
        <is>
          <t>8531027c-5418-4547-b965-112d95e6cdc6</t>
        </is>
      </c>
      <c r="B263" s="12" t="inlineStr">
        <is>
          <t>Split</t>
        </is>
      </c>
      <c r="C263" s="12" t="inlineStr">
        <is>
          <t>Barça eSports</t>
        </is>
      </c>
      <c r="D263" s="12" t="inlineStr">
        <is>
          <t>FLK</t>
        </is>
      </c>
      <c r="E263" s="12" t="inlineStr">
        <is>
          <t>Breach,Fade,Omen,Viper,Waylay</t>
        </is>
      </c>
      <c r="F263" s="12" t="inlineStr">
        <is>
          <t>Fade,Omen,Viper,Waylay,Yoru</t>
        </is>
      </c>
      <c r="G263" s="12" t="n">
        <v>9</v>
      </c>
      <c r="H263" s="12" t="n">
        <v>13</v>
      </c>
      <c r="I263" s="12" t="n">
        <v>6</v>
      </c>
      <c r="J263" s="12" t="n">
        <v>6</v>
      </c>
      <c r="K263" s="12" t="n">
        <v>0</v>
      </c>
      <c r="L263" s="12" t="n">
        <v>0</v>
      </c>
      <c r="M263" s="12" t="n">
        <v>6</v>
      </c>
      <c r="N263" s="12" t="n">
        <v>6</v>
      </c>
      <c r="O263" s="12" t="n">
        <v>3</v>
      </c>
      <c r="P263" s="12" t="n">
        <v>7</v>
      </c>
      <c r="Q263" s="12" t="inlineStr">
        <is>
          <t>2026-01-13</t>
        </is>
      </c>
      <c r="R263" s="12" t="inlineStr">
        <is>
          <t>FLK</t>
        </is>
      </c>
      <c r="S263" s="12" t="inlineStr">
        <is>
          <t>Split_Breach,Fade,Omen,Viper,Waylay</t>
        </is>
      </c>
    </row>
    <row r="264">
      <c r="A264" s="8" t="inlineStr">
        <is>
          <t>a4d4aec8-f5b9-4de0-ada8-0818c3f73fe4</t>
        </is>
      </c>
      <c r="B264" s="8" t="inlineStr">
        <is>
          <t>Haven</t>
        </is>
      </c>
      <c r="C264" s="8" t="inlineStr">
        <is>
          <t>Barça eSports</t>
        </is>
      </c>
      <c r="D264" s="8" t="inlineStr">
        <is>
          <t>KPI</t>
        </is>
      </c>
      <c r="E264" s="8" t="inlineStr">
        <is>
          <t>Killjoy,Neon,Omen,Sova,Viper</t>
        </is>
      </c>
      <c r="F264" s="8" t="inlineStr">
        <is>
          <t>Breach,Cypher,Neon,Omen,Sova</t>
        </is>
      </c>
      <c r="G264" s="8" t="n">
        <v>13</v>
      </c>
      <c r="H264" s="8" t="n">
        <v>4</v>
      </c>
      <c r="I264" s="8" t="n">
        <v>8</v>
      </c>
      <c r="J264" s="8" t="n">
        <v>4</v>
      </c>
      <c r="K264" s="8" t="n">
        <v>1</v>
      </c>
      <c r="L264" s="8" t="n">
        <v>1</v>
      </c>
      <c r="M264" s="8" t="n">
        <v>5</v>
      </c>
      <c r="N264" s="8" t="n">
        <v>0</v>
      </c>
      <c r="O264" s="8" t="n">
        <v>8</v>
      </c>
      <c r="P264" s="8" t="n">
        <v>4</v>
      </c>
      <c r="Q264" s="8" t="inlineStr">
        <is>
          <t>2026-01-12</t>
        </is>
      </c>
      <c r="R264" s="8" t="inlineStr">
        <is>
          <t>Barça eSports</t>
        </is>
      </c>
      <c r="S264" s="8" t="inlineStr">
        <is>
          <t>Haven_Killjoy,Neon,Omen,Sova,Viper</t>
        </is>
      </c>
    </row>
    <row r="265">
      <c r="A265" s="12" t="inlineStr">
        <is>
          <t>eb3a6a95-0394-4d97-8720-2faa4d394c3d</t>
        </is>
      </c>
      <c r="B265" s="12" t="inlineStr">
        <is>
          <t>Bind</t>
        </is>
      </c>
      <c r="C265" s="12" t="inlineStr">
        <is>
          <t>Barça eSports</t>
        </is>
      </c>
      <c r="D265" s="12" t="inlineStr">
        <is>
          <t>KPI</t>
        </is>
      </c>
      <c r="E265" s="12" t="inlineStr">
        <is>
          <t>Brimstone,Fade,Viper,Waylay,Yoru</t>
        </is>
      </c>
      <c r="F265" s="12" t="inlineStr">
        <is>
          <t>Brimstone,Fade,Raze,Viper,Yoru</t>
        </is>
      </c>
      <c r="G265" s="12" t="n">
        <v>11</v>
      </c>
      <c r="H265" s="12" t="n">
        <v>13</v>
      </c>
      <c r="I265" s="12" t="n">
        <v>2</v>
      </c>
      <c r="J265" s="12" t="n">
        <v>10</v>
      </c>
      <c r="K265" s="12" t="n">
        <v>0</v>
      </c>
      <c r="L265" s="12" t="n">
        <v>1</v>
      </c>
      <c r="M265" s="12" t="n">
        <v>2</v>
      </c>
      <c r="N265" s="12" t="n">
        <v>10</v>
      </c>
      <c r="O265" s="12" t="n">
        <v>9</v>
      </c>
      <c r="P265" s="12" t="n">
        <v>3</v>
      </c>
      <c r="Q265" s="12" t="inlineStr">
        <is>
          <t>2026-01-12</t>
        </is>
      </c>
      <c r="R265" s="12" t="inlineStr">
        <is>
          <t>KPI</t>
        </is>
      </c>
      <c r="S265" s="12" t="inlineStr">
        <is>
          <t>Bind_Brimstone,Fade,Viper,Waylay,Yoru</t>
        </is>
      </c>
    </row>
    <row r="266">
      <c r="A266" s="8" t="inlineStr">
        <is>
          <t>13fb6a35-987d-4f88-b5ba-3f1c96b24f5e</t>
        </is>
      </c>
      <c r="B266" s="8" t="inlineStr">
        <is>
          <t>Bind</t>
        </is>
      </c>
      <c r="C266" s="8" t="inlineStr">
        <is>
          <t>Barça eSports</t>
        </is>
      </c>
      <c r="D266" s="8" t="inlineStr">
        <is>
          <t>DSY</t>
        </is>
      </c>
      <c r="E266" s="8" t="inlineStr">
        <is>
          <t>Brimstone,Fade,Viper,Waylay,Yoru</t>
        </is>
      </c>
      <c r="F266" s="8" t="inlineStr">
        <is>
          <t>Brimstone,Fade,Raze,Viper,Yoru</t>
        </is>
      </c>
      <c r="G266" s="8" t="n">
        <v>13</v>
      </c>
      <c r="H266" s="8" t="n">
        <v>9</v>
      </c>
      <c r="I266" s="8" t="n">
        <v>7</v>
      </c>
      <c r="J266" s="8" t="n">
        <v>5</v>
      </c>
      <c r="K266" s="8" t="n">
        <v>0</v>
      </c>
      <c r="L266" s="8" t="n">
        <v>0</v>
      </c>
      <c r="M266" s="8" t="n">
        <v>6</v>
      </c>
      <c r="N266" s="8" t="n">
        <v>4</v>
      </c>
      <c r="O266" s="8" t="n">
        <v>7</v>
      </c>
      <c r="P266" s="8" t="n">
        <v>5</v>
      </c>
      <c r="Q266" s="8" t="inlineStr">
        <is>
          <t>2026-01-11</t>
        </is>
      </c>
      <c r="R266" s="8" t="inlineStr">
        <is>
          <t>Barça eSports</t>
        </is>
      </c>
      <c r="S266" s="8" t="inlineStr">
        <is>
          <t>Bind_Brimstone,Fade,Viper,Waylay,Yoru</t>
        </is>
      </c>
    </row>
    <row r="267">
      <c r="A267" s="12" t="inlineStr">
        <is>
          <t>a4e3cb5f-edca-4f81-b38f-86d3e870bf1d</t>
        </is>
      </c>
      <c r="B267" s="12" t="inlineStr">
        <is>
          <t>Abyss</t>
        </is>
      </c>
      <c r="C267" s="12" t="inlineStr">
        <is>
          <t>Barça eSports</t>
        </is>
      </c>
      <c r="D267" s="12" t="inlineStr">
        <is>
          <t>DSY</t>
        </is>
      </c>
      <c r="E267" s="12" t="inlineStr">
        <is>
          <t>Astra,Sova,Veto,Waylay,Yoru</t>
        </is>
      </c>
      <c r="F267" s="12" t="inlineStr">
        <is>
          <t>Astra,Sova,Veto,Waylay,Yoru</t>
        </is>
      </c>
      <c r="G267" s="12" t="n">
        <v>13</v>
      </c>
      <c r="H267" s="12" t="n">
        <v>11</v>
      </c>
      <c r="I267" s="12" t="n">
        <v>7</v>
      </c>
      <c r="J267" s="12" t="n">
        <v>5</v>
      </c>
      <c r="K267" s="12" t="n">
        <v>1</v>
      </c>
      <c r="L267" s="12" t="n">
        <v>1</v>
      </c>
      <c r="M267" s="12" t="n">
        <v>7</v>
      </c>
      <c r="N267" s="12" t="n">
        <v>5</v>
      </c>
      <c r="O267" s="12" t="n">
        <v>6</v>
      </c>
      <c r="P267" s="12" t="n">
        <v>6</v>
      </c>
      <c r="Q267" s="12" t="inlineStr">
        <is>
          <t>2026-01-11</t>
        </is>
      </c>
      <c r="R267" s="12" t="inlineStr">
        <is>
          <t>Barça eSports</t>
        </is>
      </c>
      <c r="S267" s="12" t="inlineStr">
        <is>
          <t>Abyss_Astra,Sova,Veto,Waylay,Yoru</t>
        </is>
      </c>
    </row>
    <row r="268">
      <c r="A268" s="8" t="inlineStr">
        <is>
          <t>a049ead3-f3d4-4110-8ba7-918500507548</t>
        </is>
      </c>
      <c r="B268" s="8" t="inlineStr">
        <is>
          <t>Bind</t>
        </is>
      </c>
      <c r="C268" s="8" t="inlineStr">
        <is>
          <t>UCAM Esports</t>
        </is>
      </c>
      <c r="D268" s="8" t="inlineStr">
        <is>
          <t>BAR</t>
        </is>
      </c>
      <c r="E268" s="8" t="inlineStr">
        <is>
          <t>Brimstone,Chamber,Raze,Skye,Viper</t>
        </is>
      </c>
      <c r="F268" s="8" t="inlineStr">
        <is>
          <t>Brimstone,Neon,Skye,Viper,Waylay</t>
        </is>
      </c>
      <c r="G268" s="8" t="n">
        <v>9</v>
      </c>
      <c r="H268" s="8" t="n">
        <v>13</v>
      </c>
      <c r="I268" s="8" t="n">
        <v>5</v>
      </c>
      <c r="J268" s="8" t="n">
        <v>7</v>
      </c>
      <c r="K268" s="8" t="n">
        <v>0</v>
      </c>
      <c r="L268" s="8" t="n">
        <v>0</v>
      </c>
      <c r="M268" s="8" t="n">
        <v>4</v>
      </c>
      <c r="N268" s="8" t="n">
        <v>6</v>
      </c>
      <c r="O268" s="8" t="n">
        <v>5</v>
      </c>
      <c r="P268" s="8" t="n">
        <v>7</v>
      </c>
      <c r="Q268" s="8" t="inlineStr">
        <is>
          <t>2026-03-07</t>
        </is>
      </c>
      <c r="R268" s="8" t="inlineStr">
        <is>
          <t>BAR</t>
        </is>
      </c>
      <c r="S268" s="8" t="inlineStr">
        <is>
          <t>Bind_Brimstone,Chamber,Raze,Skye,Viper</t>
        </is>
      </c>
    </row>
    <row r="269">
      <c r="A269" s="12" t="inlineStr">
        <is>
          <t>4e05043b-152b-4588-99c5-1b0613a74c9d</t>
        </is>
      </c>
      <c r="B269" s="12" t="inlineStr">
        <is>
          <t>Corrode</t>
        </is>
      </c>
      <c r="C269" s="12" t="inlineStr">
        <is>
          <t>UCAM Esports</t>
        </is>
      </c>
      <c r="D269" s="12" t="inlineStr">
        <is>
          <t>BAR</t>
        </is>
      </c>
      <c r="E269" s="12" t="inlineStr">
        <is>
          <t>Fade,Omen,Sage,Viper,Waylay</t>
        </is>
      </c>
      <c r="F269" s="12" t="inlineStr">
        <is>
          <t>Fade,Neon,Omen,Tejo,Viper</t>
        </is>
      </c>
      <c r="G269" s="12" t="n">
        <v>10</v>
      </c>
      <c r="H269" s="12" t="n">
        <v>13</v>
      </c>
      <c r="I269" s="12" t="n">
        <v>4</v>
      </c>
      <c r="J269" s="12" t="n">
        <v>8</v>
      </c>
      <c r="K269" s="12" t="n">
        <v>0</v>
      </c>
      <c r="L269" s="12" t="n">
        <v>0</v>
      </c>
      <c r="M269" s="12" t="n">
        <v>4</v>
      </c>
      <c r="N269" s="12" t="n">
        <v>8</v>
      </c>
      <c r="O269" s="12" t="n">
        <v>6</v>
      </c>
      <c r="P269" s="12" t="n">
        <v>5</v>
      </c>
      <c r="Q269" s="12" t="inlineStr">
        <is>
          <t>2026-03-07</t>
        </is>
      </c>
      <c r="R269" s="12" t="inlineStr">
        <is>
          <t>BAR</t>
        </is>
      </c>
      <c r="S269" s="12" t="inlineStr">
        <is>
          <t>Corrode_Fade,Omen,Sage,Viper,Waylay</t>
        </is>
      </c>
    </row>
    <row r="270">
      <c r="A270" s="8" t="inlineStr">
        <is>
          <t>a5d5dd9f-bcfd-4a0d-8c4e-27e1950c9bb3</t>
        </is>
      </c>
      <c r="B270" s="8" t="inlineStr">
        <is>
          <t>Corrode</t>
        </is>
      </c>
      <c r="C270" s="8" t="inlineStr">
        <is>
          <t>UCAM Esports</t>
        </is>
      </c>
      <c r="D270" s="8" t="inlineStr">
        <is>
          <t>KPI</t>
        </is>
      </c>
      <c r="E270" s="8" t="inlineStr">
        <is>
          <t>Fade,Omen,Sage,Viper,Waylay</t>
        </is>
      </c>
      <c r="F270" s="8" t="inlineStr">
        <is>
          <t>Fade,Omen,Viper,Waylay,Yoru</t>
        </is>
      </c>
      <c r="G270" s="8" t="n">
        <v>13</v>
      </c>
      <c r="H270" s="8" t="n">
        <v>5</v>
      </c>
      <c r="I270" s="8" t="n">
        <v>9</v>
      </c>
      <c r="J270" s="8" t="n">
        <v>3</v>
      </c>
      <c r="K270" s="8" t="n">
        <v>1</v>
      </c>
      <c r="L270" s="8" t="n">
        <v>0</v>
      </c>
      <c r="M270" s="8" t="n">
        <v>9</v>
      </c>
      <c r="N270" s="8" t="n">
        <v>3</v>
      </c>
      <c r="O270" s="8" t="n">
        <v>4</v>
      </c>
      <c r="P270" s="8" t="n">
        <v>2</v>
      </c>
      <c r="Q270" s="8" t="inlineStr">
        <is>
          <t>2026-03-02</t>
        </is>
      </c>
      <c r="R270" s="8" t="inlineStr">
        <is>
          <t>UCAM Esports</t>
        </is>
      </c>
      <c r="S270" s="8" t="inlineStr">
        <is>
          <t>Corrode_Fade,Omen,Sage,Viper,Waylay</t>
        </is>
      </c>
    </row>
    <row r="271">
      <c r="A271" s="12" t="inlineStr">
        <is>
          <t>3df8e723-a80a-46a7-b8a2-e2839d1aa333</t>
        </is>
      </c>
      <c r="B271" s="12" t="inlineStr">
        <is>
          <t>Bind</t>
        </is>
      </c>
      <c r="C271" s="12" t="inlineStr">
        <is>
          <t>UCAM Esports</t>
        </is>
      </c>
      <c r="D271" s="12" t="inlineStr">
        <is>
          <t>KPI</t>
        </is>
      </c>
      <c r="E271" s="12" t="inlineStr">
        <is>
          <t>Brimstone,Chamber,Raze,Skye,Viper</t>
        </is>
      </c>
      <c r="F271" s="12" t="inlineStr">
        <is>
          <t>Brimstone,Fade,Viper,Waylay,Yoru</t>
        </is>
      </c>
      <c r="G271" s="12" t="n">
        <v>13</v>
      </c>
      <c r="H271" s="12" t="n">
        <v>6</v>
      </c>
      <c r="I271" s="12" t="n">
        <v>9</v>
      </c>
      <c r="J271" s="12" t="n">
        <v>3</v>
      </c>
      <c r="K271" s="12" t="n">
        <v>0</v>
      </c>
      <c r="L271" s="12" t="n">
        <v>0</v>
      </c>
      <c r="M271" s="12" t="n">
        <v>4</v>
      </c>
      <c r="N271" s="12" t="n">
        <v>3</v>
      </c>
      <c r="O271" s="12" t="n">
        <v>9</v>
      </c>
      <c r="P271" s="12" t="n">
        <v>3</v>
      </c>
      <c r="Q271" s="12" t="inlineStr">
        <is>
          <t>2026-03-02</t>
        </is>
      </c>
      <c r="R271" s="12" t="inlineStr">
        <is>
          <t>UCAM Esports</t>
        </is>
      </c>
      <c r="S271" s="12" t="inlineStr">
        <is>
          <t>Bind_Brimstone,Chamber,Raze,Skye,Viper</t>
        </is>
      </c>
    </row>
    <row r="272">
      <c r="A272" s="8" t="inlineStr">
        <is>
          <t>964df8d3-2132-4dfb-b578-2d8b0c21f4e2</t>
        </is>
      </c>
      <c r="B272" s="8" t="inlineStr">
        <is>
          <t>Split</t>
        </is>
      </c>
      <c r="C272" s="8" t="inlineStr">
        <is>
          <t>UCAM Esports</t>
        </is>
      </c>
      <c r="D272" s="8" t="inlineStr">
        <is>
          <t>DSY</t>
        </is>
      </c>
      <c r="E272" s="8" t="inlineStr">
        <is>
          <t>Fade,Omen,Raze,Viper,Yoru</t>
        </is>
      </c>
      <c r="F272" s="8" t="inlineStr">
        <is>
          <t>Fade,Omen,Raze,Viper,Yoru</t>
        </is>
      </c>
      <c r="G272" s="8" t="n">
        <v>11</v>
      </c>
      <c r="H272" s="8" t="n">
        <v>13</v>
      </c>
      <c r="I272" s="8" t="n">
        <v>6</v>
      </c>
      <c r="J272" s="8" t="n">
        <v>6</v>
      </c>
      <c r="K272" s="8" t="n">
        <v>0</v>
      </c>
      <c r="L272" s="8" t="n">
        <v>1</v>
      </c>
      <c r="M272" s="8" t="n">
        <v>5</v>
      </c>
      <c r="N272" s="8" t="n">
        <v>7</v>
      </c>
      <c r="O272" s="8" t="n">
        <v>6</v>
      </c>
      <c r="P272" s="8" t="n">
        <v>6</v>
      </c>
      <c r="Q272" s="8" t="inlineStr">
        <is>
          <t>2026-03-01</t>
        </is>
      </c>
      <c r="R272" s="8" t="inlineStr">
        <is>
          <t>DSY</t>
        </is>
      </c>
      <c r="S272" s="8" t="inlineStr">
        <is>
          <t>Split_Fade,Omen,Raze,Viper,Yoru</t>
        </is>
      </c>
    </row>
    <row r="273">
      <c r="A273" s="12" t="inlineStr">
        <is>
          <t>5f9091be-8a9e-45b0-ab1f-91328f255e0c</t>
        </is>
      </c>
      <c r="B273" s="12" t="inlineStr">
        <is>
          <t>Haven</t>
        </is>
      </c>
      <c r="C273" s="12" t="inlineStr">
        <is>
          <t>UCAM Esports</t>
        </is>
      </c>
      <c r="D273" s="12" t="inlineStr">
        <is>
          <t>DSY</t>
        </is>
      </c>
      <c r="E273" s="12" t="inlineStr">
        <is>
          <t>Fade,Killjoy,Omen,Viper,Yoru</t>
        </is>
      </c>
      <c r="F273" s="12" t="inlineStr">
        <is>
          <t>Killjoy,Neon,Omen,Sova,Viper</t>
        </is>
      </c>
      <c r="G273" s="12" t="n">
        <v>7</v>
      </c>
      <c r="H273" s="12" t="n">
        <v>13</v>
      </c>
      <c r="I273" s="12" t="n">
        <v>5</v>
      </c>
      <c r="J273" s="12" t="n">
        <v>7</v>
      </c>
      <c r="K273" s="12" t="n">
        <v>0</v>
      </c>
      <c r="L273" s="12" t="n">
        <v>0</v>
      </c>
      <c r="M273" s="12" t="n">
        <v>2</v>
      </c>
      <c r="N273" s="12" t="n">
        <v>6</v>
      </c>
      <c r="O273" s="12" t="n">
        <v>5</v>
      </c>
      <c r="P273" s="12" t="n">
        <v>7</v>
      </c>
      <c r="Q273" s="12" t="inlineStr">
        <is>
          <t>2026-03-01</t>
        </is>
      </c>
      <c r="R273" s="12" t="inlineStr">
        <is>
          <t>DSY</t>
        </is>
      </c>
      <c r="S273" s="12" t="inlineStr">
        <is>
          <t>Haven_Fade,Killjoy,Omen,Viper,Yoru</t>
        </is>
      </c>
    </row>
    <row r="274">
      <c r="A274" s="8" t="inlineStr">
        <is>
          <t>3294ac78-0485-4bde-99bc-0e3ddbb541ab</t>
        </is>
      </c>
      <c r="B274" s="8" t="inlineStr">
        <is>
          <t>Bind</t>
        </is>
      </c>
      <c r="C274" s="8" t="inlineStr">
        <is>
          <t>UCAM Esports</t>
        </is>
      </c>
      <c r="D274" s="8" t="inlineStr">
        <is>
          <t>DSY</t>
        </is>
      </c>
      <c r="E274" s="8" t="inlineStr">
        <is>
          <t>Brimstone,Chamber,Raze,Skye,Viper</t>
        </is>
      </c>
      <c r="F274" s="8" t="inlineStr">
        <is>
          <t>Brimstone,Fade,Raze,Viper,Yoru</t>
        </is>
      </c>
      <c r="G274" s="8" t="n">
        <v>13</v>
      </c>
      <c r="H274" s="8" t="n">
        <v>3</v>
      </c>
      <c r="I274" s="8" t="n">
        <v>9</v>
      </c>
      <c r="J274" s="8" t="n">
        <v>3</v>
      </c>
      <c r="K274" s="8" t="n">
        <v>1</v>
      </c>
      <c r="L274" s="8" t="n">
        <v>1</v>
      </c>
      <c r="M274" s="8" t="n">
        <v>4</v>
      </c>
      <c r="N274" s="8" t="n">
        <v>0</v>
      </c>
      <c r="O274" s="8" t="n">
        <v>9</v>
      </c>
      <c r="P274" s="8" t="n">
        <v>3</v>
      </c>
      <c r="Q274" s="8" t="inlineStr">
        <is>
          <t>2026-03-01</t>
        </is>
      </c>
      <c r="R274" s="8" t="inlineStr">
        <is>
          <t>UCAM Esports</t>
        </is>
      </c>
      <c r="S274" s="8" t="inlineStr">
        <is>
          <t>Bind_Brimstone,Chamber,Raze,Skye,Viper</t>
        </is>
      </c>
    </row>
    <row r="275">
      <c r="A275" s="12" t="inlineStr">
        <is>
          <t>32c91719-b8ca-4086-9f50-7298f7f504db</t>
        </is>
      </c>
      <c r="B275" s="12" t="inlineStr">
        <is>
          <t>Corrode</t>
        </is>
      </c>
      <c r="C275" s="12" t="inlineStr">
        <is>
          <t>UCAM Esports</t>
        </is>
      </c>
      <c r="D275" s="12" t="inlineStr">
        <is>
          <t>KPI</t>
        </is>
      </c>
      <c r="E275" s="12" t="inlineStr">
        <is>
          <t>Fade,Omen,Sage,Viper,Waylay</t>
        </is>
      </c>
      <c r="F275" s="12" t="inlineStr">
        <is>
          <t>Fade,Omen,Viper,Waylay,Yoru</t>
        </is>
      </c>
      <c r="G275" s="12" t="n">
        <v>13</v>
      </c>
      <c r="H275" s="12" t="n">
        <v>4</v>
      </c>
      <c r="I275" s="12" t="n">
        <v>8</v>
      </c>
      <c r="J275" s="12" t="n">
        <v>4</v>
      </c>
      <c r="K275" s="12" t="n">
        <v>1</v>
      </c>
      <c r="L275" s="12" t="n">
        <v>1</v>
      </c>
      <c r="M275" s="12" t="n">
        <v>8</v>
      </c>
      <c r="N275" s="12" t="n">
        <v>4</v>
      </c>
      <c r="O275" s="12" t="n">
        <v>5</v>
      </c>
      <c r="P275" s="12" t="n">
        <v>0</v>
      </c>
      <c r="Q275" s="12" t="inlineStr">
        <is>
          <t>2026-02-28</t>
        </is>
      </c>
      <c r="R275" s="12" t="inlineStr">
        <is>
          <t>UCAM Esports</t>
        </is>
      </c>
      <c r="S275" s="12" t="inlineStr">
        <is>
          <t>Corrode_Fade,Omen,Sage,Viper,Waylay</t>
        </is>
      </c>
    </row>
    <row r="276">
      <c r="A276" s="8" t="inlineStr">
        <is>
          <t>05fcf371-a2ff-42b2-8dfa-a3a777afb37a</t>
        </is>
      </c>
      <c r="B276" s="8" t="inlineStr">
        <is>
          <t>Haven</t>
        </is>
      </c>
      <c r="C276" s="8" t="inlineStr">
        <is>
          <t>UCAM Esports</t>
        </is>
      </c>
      <c r="D276" s="8" t="inlineStr">
        <is>
          <t>KPI</t>
        </is>
      </c>
      <c r="E276" s="8" t="inlineStr">
        <is>
          <t>Fade,Killjoy,Omen,Viper,Yoru</t>
        </is>
      </c>
      <c r="F276" s="8" t="inlineStr">
        <is>
          <t>Chamber,Fade,Omen,Phoenix,Yoru</t>
        </is>
      </c>
      <c r="G276" s="8" t="n">
        <v>8</v>
      </c>
      <c r="H276" s="8" t="n">
        <v>13</v>
      </c>
      <c r="I276" s="8" t="n">
        <v>3</v>
      </c>
      <c r="J276" s="8" t="n">
        <v>9</v>
      </c>
      <c r="K276" s="8" t="n">
        <v>1</v>
      </c>
      <c r="L276" s="8" t="n">
        <v>0</v>
      </c>
      <c r="M276" s="8" t="n">
        <v>5</v>
      </c>
      <c r="N276" s="8" t="n">
        <v>4</v>
      </c>
      <c r="O276" s="8" t="n">
        <v>3</v>
      </c>
      <c r="P276" s="8" t="n">
        <v>9</v>
      </c>
      <c r="Q276" s="8" t="inlineStr">
        <is>
          <t>2026-02-28</t>
        </is>
      </c>
      <c r="R276" s="8" t="inlineStr">
        <is>
          <t>KPI</t>
        </is>
      </c>
      <c r="S276" s="8" t="inlineStr">
        <is>
          <t>Haven_Fade,Killjoy,Omen,Viper,Yoru</t>
        </is>
      </c>
    </row>
    <row r="277">
      <c r="A277" s="12" t="inlineStr">
        <is>
          <t>332294c2-523f-4263-84e6-cf4629222835</t>
        </is>
      </c>
      <c r="B277" s="12" t="inlineStr">
        <is>
          <t>Bind</t>
        </is>
      </c>
      <c r="C277" s="12" t="inlineStr">
        <is>
          <t>UCAM Esports</t>
        </is>
      </c>
      <c r="D277" s="12" t="inlineStr">
        <is>
          <t>KPI</t>
        </is>
      </c>
      <c r="E277" s="12" t="inlineStr">
        <is>
          <t>Brimstone,Chamber,Raze,Skye,Viper</t>
        </is>
      </c>
      <c r="F277" s="12" t="inlineStr">
        <is>
          <t>Brimstone,Fade,Viper,Waylay,Yoru</t>
        </is>
      </c>
      <c r="G277" s="12" t="n">
        <v>13</v>
      </c>
      <c r="H277" s="12" t="n">
        <v>11</v>
      </c>
      <c r="I277" s="12" t="n">
        <v>8</v>
      </c>
      <c r="J277" s="12" t="n">
        <v>4</v>
      </c>
      <c r="K277" s="12" t="n">
        <v>1</v>
      </c>
      <c r="L277" s="12" t="n">
        <v>1</v>
      </c>
      <c r="M277" s="12" t="n">
        <v>5</v>
      </c>
      <c r="N277" s="12" t="n">
        <v>7</v>
      </c>
      <c r="O277" s="12" t="n">
        <v>8</v>
      </c>
      <c r="P277" s="12" t="n">
        <v>4</v>
      </c>
      <c r="Q277" s="12" t="inlineStr">
        <is>
          <t>2026-02-28</t>
        </is>
      </c>
      <c r="R277" s="12" t="inlineStr">
        <is>
          <t>UCAM Esports</t>
        </is>
      </c>
      <c r="S277" s="12" t="inlineStr">
        <is>
          <t>Bind_Brimstone,Chamber,Raze,Skye,Viper</t>
        </is>
      </c>
    </row>
    <row r="278">
      <c r="A278" s="8" t="inlineStr">
        <is>
          <t>258ba70c-0471-4278-9f55-452664cf62b4</t>
        </is>
      </c>
      <c r="B278" s="8" t="inlineStr">
        <is>
          <t>Corrode</t>
        </is>
      </c>
      <c r="C278" s="8" t="inlineStr">
        <is>
          <t>UCAM Esports</t>
        </is>
      </c>
      <c r="D278" s="8" t="inlineStr">
        <is>
          <t>VIT</t>
        </is>
      </c>
      <c r="E278" s="8" t="inlineStr">
        <is>
          <t>Fade,Omen,Sage,Viper,Waylay</t>
        </is>
      </c>
      <c r="F278" s="8" t="inlineStr">
        <is>
          <t>Astra,Chamber,Phoenix,Sova,Yoru</t>
        </is>
      </c>
      <c r="G278" s="8" t="n">
        <v>7</v>
      </c>
      <c r="H278" s="8" t="n">
        <v>13</v>
      </c>
      <c r="I278" s="8" t="n">
        <v>6</v>
      </c>
      <c r="J278" s="8" t="n">
        <v>6</v>
      </c>
      <c r="K278" s="8" t="n">
        <v>0</v>
      </c>
      <c r="L278" s="8" t="n">
        <v>1</v>
      </c>
      <c r="M278" s="8" t="n">
        <v>1</v>
      </c>
      <c r="N278" s="8" t="n">
        <v>7</v>
      </c>
      <c r="O278" s="8" t="n">
        <v>6</v>
      </c>
      <c r="P278" s="8" t="n">
        <v>6</v>
      </c>
      <c r="Q278" s="8" t="inlineStr">
        <is>
          <t>2026-02-25</t>
        </is>
      </c>
      <c r="R278" s="8" t="inlineStr">
        <is>
          <t>VIT</t>
        </is>
      </c>
      <c r="S278" s="8" t="inlineStr">
        <is>
          <t>Corrode_Fade,Omen,Sage,Viper,Waylay</t>
        </is>
      </c>
    </row>
    <row r="279">
      <c r="A279" s="12" t="inlineStr">
        <is>
          <t>8609a3dd-eedf-45c3-a0cf-51bfefe3a789</t>
        </is>
      </c>
      <c r="B279" s="12" t="inlineStr">
        <is>
          <t>Haven</t>
        </is>
      </c>
      <c r="C279" s="12" t="inlineStr">
        <is>
          <t>UCAM Esports</t>
        </is>
      </c>
      <c r="D279" s="12" t="inlineStr">
        <is>
          <t>VIT</t>
        </is>
      </c>
      <c r="E279" s="12" t="inlineStr">
        <is>
          <t>Fade,Killjoy,Omen,Viper,Yoru</t>
        </is>
      </c>
      <c r="F279" s="12" t="inlineStr">
        <is>
          <t>Chamber,Jett,Omen,Skye,Viper</t>
        </is>
      </c>
      <c r="G279" s="12" t="n">
        <v>6</v>
      </c>
      <c r="H279" s="12" t="n">
        <v>13</v>
      </c>
      <c r="I279" s="12" t="n">
        <v>3</v>
      </c>
      <c r="J279" s="12" t="n">
        <v>9</v>
      </c>
      <c r="K279" s="12" t="n">
        <v>0</v>
      </c>
      <c r="L279" s="12" t="n">
        <v>1</v>
      </c>
      <c r="M279" s="12" t="n">
        <v>3</v>
      </c>
      <c r="N279" s="12" t="n">
        <v>9</v>
      </c>
      <c r="O279" s="12" t="n">
        <v>3</v>
      </c>
      <c r="P279" s="12" t="n">
        <v>4</v>
      </c>
      <c r="Q279" s="12" t="inlineStr">
        <is>
          <t>2026-02-25</t>
        </is>
      </c>
      <c r="R279" s="12" t="inlineStr">
        <is>
          <t>VIT</t>
        </is>
      </c>
      <c r="S279" s="12" t="inlineStr">
        <is>
          <t>Haven_Fade,Killjoy,Omen,Viper,Yoru</t>
        </is>
      </c>
    </row>
    <row r="280">
      <c r="A280" s="8" t="inlineStr">
        <is>
          <t>e84b0203-94bc-44ad-8f0f-288e89378f31</t>
        </is>
      </c>
      <c r="B280" s="8" t="inlineStr">
        <is>
          <t>Haven</t>
        </is>
      </c>
      <c r="C280" s="8" t="inlineStr">
        <is>
          <t>UCAM Esports</t>
        </is>
      </c>
      <c r="D280" s="8" t="inlineStr">
        <is>
          <t>ULF</t>
        </is>
      </c>
      <c r="E280" s="8" t="inlineStr">
        <is>
          <t>Fade,Killjoy,Omen,Viper,Yoru</t>
        </is>
      </c>
      <c r="F280" s="8" t="inlineStr">
        <is>
          <t>Chamber,Neon,Omen,Sova,Viper</t>
        </is>
      </c>
      <c r="G280" s="8" t="n">
        <v>14</v>
      </c>
      <c r="H280" s="8" t="n">
        <v>12</v>
      </c>
      <c r="I280" s="8" t="n">
        <v>9</v>
      </c>
      <c r="J280" s="8" t="n">
        <v>3</v>
      </c>
      <c r="K280" s="8" t="n">
        <v>0</v>
      </c>
      <c r="L280" s="8" t="n">
        <v>1</v>
      </c>
      <c r="M280" s="8" t="n">
        <v>4</v>
      </c>
      <c r="N280" s="8" t="n">
        <v>9</v>
      </c>
      <c r="O280" s="8" t="n">
        <v>10</v>
      </c>
      <c r="P280" s="8" t="n">
        <v>3</v>
      </c>
      <c r="Q280" s="8" t="inlineStr">
        <is>
          <t>2026-02-24</t>
        </is>
      </c>
      <c r="R280" s="8" t="inlineStr">
        <is>
          <t>UCAM Esports</t>
        </is>
      </c>
      <c r="S280" s="8" t="inlineStr">
        <is>
          <t>Haven_Fade,Killjoy,Omen,Viper,Yoru</t>
        </is>
      </c>
    </row>
    <row r="281">
      <c r="A281" s="12" t="inlineStr">
        <is>
          <t>77ef3688-ea58-48e0-ab86-3652d185bc83</t>
        </is>
      </c>
      <c r="B281" s="12" t="inlineStr">
        <is>
          <t>Split</t>
        </is>
      </c>
      <c r="C281" s="12" t="inlineStr">
        <is>
          <t>UCAM Esports</t>
        </is>
      </c>
      <c r="D281" s="12" t="inlineStr">
        <is>
          <t>ULF</t>
        </is>
      </c>
      <c r="E281" s="12" t="inlineStr">
        <is>
          <t>Fade,Omen,Raze,Viper,Yoru</t>
        </is>
      </c>
      <c r="F281" s="12" t="inlineStr">
        <is>
          <t>Astra,Fade,Neon,Viper,Yoru</t>
        </is>
      </c>
      <c r="G281" s="12" t="n">
        <v>6</v>
      </c>
      <c r="H281" s="12" t="n">
        <v>13</v>
      </c>
      <c r="I281" s="12" t="n">
        <v>3</v>
      </c>
      <c r="J281" s="12" t="n">
        <v>9</v>
      </c>
      <c r="K281" s="12" t="n">
        <v>1</v>
      </c>
      <c r="L281" s="12" t="n">
        <v>0</v>
      </c>
      <c r="M281" s="12" t="n">
        <v>3</v>
      </c>
      <c r="N281" s="12" t="n">
        <v>4</v>
      </c>
      <c r="O281" s="12" t="n">
        <v>3</v>
      </c>
      <c r="P281" s="12" t="n">
        <v>9</v>
      </c>
      <c r="Q281" s="12" t="inlineStr">
        <is>
          <t>2026-02-24</t>
        </is>
      </c>
      <c r="R281" s="12" t="inlineStr">
        <is>
          <t>ULF</t>
        </is>
      </c>
      <c r="S281" s="12" t="inlineStr">
        <is>
          <t>Split_Fade,Omen,Raze,Viper,Yoru</t>
        </is>
      </c>
    </row>
    <row r="282">
      <c r="A282" s="8" t="inlineStr">
        <is>
          <t>b191ff54-3df2-4b56-bd43-6f82c23b2519</t>
        </is>
      </c>
      <c r="B282" s="8" t="inlineStr">
        <is>
          <t>Bind</t>
        </is>
      </c>
      <c r="C282" s="8" t="inlineStr">
        <is>
          <t>UCAM Esports</t>
        </is>
      </c>
      <c r="D282" s="8" t="inlineStr">
        <is>
          <t>ULF</t>
        </is>
      </c>
      <c r="E282" s="8" t="inlineStr">
        <is>
          <t>Brimstone,Chamber,Raze,Skye,Viper</t>
        </is>
      </c>
      <c r="F282" s="8" t="inlineStr">
        <is>
          <t>Brimstone,Fade,Viper,Waylay,Yoru</t>
        </is>
      </c>
      <c r="G282" s="8" t="n">
        <v>13</v>
      </c>
      <c r="H282" s="8" t="n">
        <v>6</v>
      </c>
      <c r="I282" s="8" t="n">
        <v>6</v>
      </c>
      <c r="J282" s="8" t="n">
        <v>6</v>
      </c>
      <c r="K282" s="8" t="n">
        <v>1</v>
      </c>
      <c r="L282" s="8" t="n">
        <v>1</v>
      </c>
      <c r="M282" s="8" t="n">
        <v>6</v>
      </c>
      <c r="N282" s="8" t="n">
        <v>6</v>
      </c>
      <c r="O282" s="8" t="n">
        <v>7</v>
      </c>
      <c r="P282" s="8" t="n">
        <v>0</v>
      </c>
      <c r="Q282" s="8" t="inlineStr">
        <is>
          <t>2026-02-24</t>
        </is>
      </c>
      <c r="R282" s="8" t="inlineStr">
        <is>
          <t>UCAM Esports</t>
        </is>
      </c>
      <c r="S282" s="8" t="inlineStr">
        <is>
          <t>Bind_Brimstone,Chamber,Raze,Skye,Viper</t>
        </is>
      </c>
    </row>
    <row r="283">
      <c r="A283" s="12" t="inlineStr">
        <is>
          <t>c17e1e4b-1f99-4f7b-a045-41ae4b071281</t>
        </is>
      </c>
      <c r="B283" s="12" t="inlineStr">
        <is>
          <t>Bind</t>
        </is>
      </c>
      <c r="C283" s="12" t="inlineStr">
        <is>
          <t>UCAM Esports</t>
        </is>
      </c>
      <c r="D283" s="12" t="inlineStr">
        <is>
          <t>BJK</t>
        </is>
      </c>
      <c r="E283" s="12" t="inlineStr">
        <is>
          <t>Brimstone,Chamber,Raze,Skye,Viper</t>
        </is>
      </c>
      <c r="F283" s="12" t="inlineStr">
        <is>
          <t>Brimstone,Fade,Raze,Viper,Yoru</t>
        </is>
      </c>
      <c r="G283" s="12" t="n">
        <v>13</v>
      </c>
      <c r="H283" s="12" t="n">
        <v>10</v>
      </c>
      <c r="I283" s="12" t="n">
        <v>4</v>
      </c>
      <c r="J283" s="12" t="n">
        <v>8</v>
      </c>
      <c r="K283" s="12" t="n">
        <v>1</v>
      </c>
      <c r="L283" s="12" t="n">
        <v>0</v>
      </c>
      <c r="M283" s="12" t="n">
        <v>9</v>
      </c>
      <c r="N283" s="12" t="n">
        <v>2</v>
      </c>
      <c r="O283" s="12" t="n">
        <v>4</v>
      </c>
      <c r="P283" s="12" t="n">
        <v>8</v>
      </c>
      <c r="Q283" s="12" t="inlineStr">
        <is>
          <t>2026-02-22</t>
        </is>
      </c>
      <c r="R283" s="12" t="inlineStr">
        <is>
          <t>UCAM Esports</t>
        </is>
      </c>
      <c r="S283" s="12" t="inlineStr">
        <is>
          <t>Bind_Brimstone,Chamber,Raze,Skye,Viper</t>
        </is>
      </c>
    </row>
    <row r="284">
      <c r="A284" s="8" t="inlineStr">
        <is>
          <t>673623d8-3dd3-4567-9e9d-8296c5c47d5e</t>
        </is>
      </c>
      <c r="B284" s="8" t="inlineStr">
        <is>
          <t>Split</t>
        </is>
      </c>
      <c r="C284" s="8" t="inlineStr">
        <is>
          <t>UCAM Esports</t>
        </is>
      </c>
      <c r="D284" s="8" t="inlineStr">
        <is>
          <t>BJK</t>
        </is>
      </c>
      <c r="E284" s="8" t="inlineStr">
        <is>
          <t>Fade,Omen,Raze,Viper,Yoru</t>
        </is>
      </c>
      <c r="F284" s="8" t="inlineStr">
        <is>
          <t>Fade,Omen,Raze,Viper,Yoru</t>
        </is>
      </c>
      <c r="G284" s="8" t="n">
        <v>12</v>
      </c>
      <c r="H284" s="8" t="n">
        <v>14</v>
      </c>
      <c r="I284" s="8" t="n">
        <v>7</v>
      </c>
      <c r="J284" s="8" t="n">
        <v>5</v>
      </c>
      <c r="K284" s="8" t="n">
        <v>0</v>
      </c>
      <c r="L284" s="8" t="n">
        <v>0</v>
      </c>
      <c r="M284" s="8" t="n">
        <v>5</v>
      </c>
      <c r="N284" s="8" t="n">
        <v>8</v>
      </c>
      <c r="O284" s="8" t="n">
        <v>7</v>
      </c>
      <c r="P284" s="8" t="n">
        <v>6</v>
      </c>
      <c r="Q284" s="8" t="inlineStr">
        <is>
          <t>2026-02-22</t>
        </is>
      </c>
      <c r="R284" s="8" t="inlineStr">
        <is>
          <t>BJK</t>
        </is>
      </c>
      <c r="S284" s="8" t="inlineStr">
        <is>
          <t>Split_Fade,Omen,Raze,Viper,Yoru</t>
        </is>
      </c>
    </row>
    <row r="285">
      <c r="A285" s="12" t="inlineStr">
        <is>
          <t>ed6b81f6-82b1-4bcd-8cf0-f78e812f49d9</t>
        </is>
      </c>
      <c r="B285" s="12" t="inlineStr">
        <is>
          <t>Corrode</t>
        </is>
      </c>
      <c r="C285" s="12" t="inlineStr">
        <is>
          <t>UCAM Esports</t>
        </is>
      </c>
      <c r="D285" s="12" t="inlineStr">
        <is>
          <t>BJK</t>
        </is>
      </c>
      <c r="E285" s="12" t="inlineStr">
        <is>
          <t>Fade,Omen,Sage,Viper,Waylay</t>
        </is>
      </c>
      <c r="F285" s="12" t="inlineStr">
        <is>
          <t>KAY/O,Omen,Sova,Viper,Waylay</t>
        </is>
      </c>
      <c r="G285" s="12" t="n">
        <v>14</v>
      </c>
      <c r="H285" s="12" t="n">
        <v>12</v>
      </c>
      <c r="I285" s="12" t="n">
        <v>6</v>
      </c>
      <c r="J285" s="12" t="n">
        <v>6</v>
      </c>
      <c r="K285" s="12" t="n">
        <v>0</v>
      </c>
      <c r="L285" s="12" t="n">
        <v>0</v>
      </c>
      <c r="M285" s="12" t="n">
        <v>7</v>
      </c>
      <c r="N285" s="12" t="n">
        <v>6</v>
      </c>
      <c r="O285" s="12" t="n">
        <v>7</v>
      </c>
      <c r="P285" s="12" t="n">
        <v>6</v>
      </c>
      <c r="Q285" s="12" t="inlineStr">
        <is>
          <t>2026-02-22</t>
        </is>
      </c>
      <c r="R285" s="12" t="inlineStr">
        <is>
          <t>UCAM Esports</t>
        </is>
      </c>
      <c r="S285" s="12" t="inlineStr">
        <is>
          <t>Corrode_Fade,Omen,Sage,Viper,Waylay</t>
        </is>
      </c>
    </row>
    <row r="286">
      <c r="A286" s="8" t="inlineStr">
        <is>
          <t>6acebd71-8b99-431c-9e41-827468d9d5de</t>
        </is>
      </c>
      <c r="B286" s="8" t="inlineStr">
        <is>
          <t>Haven</t>
        </is>
      </c>
      <c r="C286" s="8" t="inlineStr">
        <is>
          <t>UCAM Esports</t>
        </is>
      </c>
      <c r="D286" s="8" t="inlineStr">
        <is>
          <t>NAVI</t>
        </is>
      </c>
      <c r="E286" s="8" t="inlineStr">
        <is>
          <t>Fade,Killjoy,Omen,Viper,Yoru</t>
        </is>
      </c>
      <c r="F286" s="8" t="inlineStr">
        <is>
          <t>Astra,Cypher,Neon,Sova,Yoru</t>
        </is>
      </c>
      <c r="G286" s="8" t="n">
        <v>13</v>
      </c>
      <c r="H286" s="8" t="n">
        <v>9</v>
      </c>
      <c r="I286" s="8" t="n">
        <v>7</v>
      </c>
      <c r="J286" s="8" t="n">
        <v>5</v>
      </c>
      <c r="K286" s="8" t="n">
        <v>0</v>
      </c>
      <c r="L286" s="8" t="n">
        <v>0</v>
      </c>
      <c r="M286" s="8" t="n">
        <v>6</v>
      </c>
      <c r="N286" s="8" t="n">
        <v>4</v>
      </c>
      <c r="O286" s="8" t="n">
        <v>7</v>
      </c>
      <c r="P286" s="8" t="n">
        <v>5</v>
      </c>
      <c r="Q286" s="8" t="inlineStr">
        <is>
          <t>2026-02-21</t>
        </is>
      </c>
      <c r="R286" s="8" t="inlineStr">
        <is>
          <t>UCAM Esports</t>
        </is>
      </c>
      <c r="S286" s="8" t="inlineStr">
        <is>
          <t>Haven_Fade,Killjoy,Omen,Viper,Yoru</t>
        </is>
      </c>
    </row>
    <row r="287">
      <c r="A287" s="12" t="inlineStr">
        <is>
          <t>a402bb32-9312-4ec0-83c8-2a51b58b37c6</t>
        </is>
      </c>
      <c r="B287" s="12" t="inlineStr">
        <is>
          <t>Bind</t>
        </is>
      </c>
      <c r="C287" s="12" t="inlineStr">
        <is>
          <t>UCAM Esports</t>
        </is>
      </c>
      <c r="D287" s="12" t="inlineStr">
        <is>
          <t>NAVI</t>
        </is>
      </c>
      <c r="E287" s="12" t="inlineStr">
        <is>
          <t>Brimstone,Chamber,Raze,Skye,Viper</t>
        </is>
      </c>
      <c r="F287" s="12" t="inlineStr">
        <is>
          <t>Brimstone,Fade,Viper,Waylay,Yoru</t>
        </is>
      </c>
      <c r="G287" s="12" t="n">
        <v>13</v>
      </c>
      <c r="H287" s="12" t="n">
        <v>9</v>
      </c>
      <c r="I287" s="12" t="n">
        <v>8</v>
      </c>
      <c r="J287" s="12" t="n">
        <v>4</v>
      </c>
      <c r="K287" s="12" t="n">
        <v>0</v>
      </c>
      <c r="L287" s="12" t="n">
        <v>1</v>
      </c>
      <c r="M287" s="12" t="n">
        <v>5</v>
      </c>
      <c r="N287" s="12" t="n">
        <v>5</v>
      </c>
      <c r="O287" s="12" t="n">
        <v>8</v>
      </c>
      <c r="P287" s="12" t="n">
        <v>4</v>
      </c>
      <c r="Q287" s="12" t="inlineStr">
        <is>
          <t>2026-02-21</t>
        </is>
      </c>
      <c r="R287" s="12" t="inlineStr">
        <is>
          <t>UCAM Esports</t>
        </is>
      </c>
      <c r="S287" s="12" t="inlineStr">
        <is>
          <t>Bind_Brimstone,Chamber,Raze,Skye,Viper</t>
        </is>
      </c>
    </row>
    <row r="288">
      <c r="A288" s="8" t="inlineStr">
        <is>
          <t>b34e2359-b665-4f2c-913c-c3835e4a4950</t>
        </is>
      </c>
      <c r="B288" s="8" t="inlineStr">
        <is>
          <t>Pearl</t>
        </is>
      </c>
      <c r="C288" s="8" t="inlineStr">
        <is>
          <t>UCAM Esports</t>
        </is>
      </c>
      <c r="D288" s="8" t="inlineStr">
        <is>
          <t>NAVI</t>
        </is>
      </c>
      <c r="E288" s="8" t="inlineStr">
        <is>
          <t>Astra,Fade,Killjoy,Tejo,Yoru</t>
        </is>
      </c>
      <c r="F288" s="8" t="inlineStr">
        <is>
          <t>Astra,Cypher,Fade,Neon,Yoru</t>
        </is>
      </c>
      <c r="G288" s="8" t="n">
        <v>9</v>
      </c>
      <c r="H288" s="8" t="n">
        <v>13</v>
      </c>
      <c r="I288" s="8" t="n">
        <v>8</v>
      </c>
      <c r="J288" s="8" t="n">
        <v>4</v>
      </c>
      <c r="K288" s="8" t="n">
        <v>0</v>
      </c>
      <c r="L288" s="8" t="n">
        <v>0</v>
      </c>
      <c r="M288" s="8" t="n">
        <v>1</v>
      </c>
      <c r="N288" s="8" t="n">
        <v>9</v>
      </c>
      <c r="O288" s="8" t="n">
        <v>8</v>
      </c>
      <c r="P288" s="8" t="n">
        <v>4</v>
      </c>
      <c r="Q288" s="8" t="inlineStr">
        <is>
          <t>2026-02-21</t>
        </is>
      </c>
      <c r="R288" s="8" t="inlineStr">
        <is>
          <t>NAVI</t>
        </is>
      </c>
      <c r="S288" s="8" t="inlineStr">
        <is>
          <t>Pearl_Astra,Fade,Killjoy,Tejo,Yoru</t>
        </is>
      </c>
    </row>
    <row r="289">
      <c r="A289" s="12" t="inlineStr">
        <is>
          <t>8cf2bdd2-6e4a-483c-ba68-109f21f7d47a</t>
        </is>
      </c>
      <c r="B289" s="12" t="inlineStr">
        <is>
          <t>Abyss</t>
        </is>
      </c>
      <c r="C289" s="12" t="inlineStr">
        <is>
          <t>UCAM Esports</t>
        </is>
      </c>
      <c r="D289" s="12" t="inlineStr">
        <is>
          <t>FKS</t>
        </is>
      </c>
      <c r="E289" s="12" t="inlineStr">
        <is>
          <t>Astra,Breach,Tejo,Waylay,Yoru</t>
        </is>
      </c>
      <c r="F289" s="12" t="inlineStr">
        <is>
          <t>Astra,Sova,Veto,Waylay,Yoru</t>
        </is>
      </c>
      <c r="G289" s="12" t="n">
        <v>9</v>
      </c>
      <c r="H289" s="12" t="n">
        <v>13</v>
      </c>
      <c r="I289" s="12" t="n">
        <v>6</v>
      </c>
      <c r="J289" s="12" t="n">
        <v>6</v>
      </c>
      <c r="K289" s="12" t="n">
        <v>1</v>
      </c>
      <c r="L289" s="12" t="n">
        <v>1</v>
      </c>
      <c r="M289" s="12" t="n">
        <v>3</v>
      </c>
      <c r="N289" s="12" t="n">
        <v>7</v>
      </c>
      <c r="O289" s="12" t="n">
        <v>6</v>
      </c>
      <c r="P289" s="12" t="n">
        <v>6</v>
      </c>
      <c r="Q289" s="12" t="inlineStr">
        <is>
          <t>2026-02-19</t>
        </is>
      </c>
      <c r="R289" s="12" t="inlineStr">
        <is>
          <t>FKS</t>
        </is>
      </c>
      <c r="S289" s="12" t="inlineStr">
        <is>
          <t>Abyss_Astra,Breach,Tejo,Waylay,Yoru</t>
        </is>
      </c>
    </row>
    <row r="290">
      <c r="A290" s="8" t="inlineStr">
        <is>
          <t>c7c1710e-25af-4247-83c9-6184f561abc9</t>
        </is>
      </c>
      <c r="B290" s="8" t="inlineStr">
        <is>
          <t>Haven</t>
        </is>
      </c>
      <c r="C290" s="8" t="inlineStr">
        <is>
          <t>UCAM Esports</t>
        </is>
      </c>
      <c r="D290" s="8" t="inlineStr">
        <is>
          <t>FKS</t>
        </is>
      </c>
      <c r="E290" s="8" t="inlineStr">
        <is>
          <t>Fade,Killjoy,Omen,Viper,Yoru</t>
        </is>
      </c>
      <c r="F290" s="8" t="inlineStr">
        <is>
          <t>Cypher,Neon,Omen,Sova,Yoru</t>
        </is>
      </c>
      <c r="G290" s="8" t="n">
        <v>13</v>
      </c>
      <c r="H290" s="8" t="n">
        <v>9</v>
      </c>
      <c r="I290" s="8" t="n">
        <v>6</v>
      </c>
      <c r="J290" s="8" t="n">
        <v>6</v>
      </c>
      <c r="K290" s="8" t="n">
        <v>1</v>
      </c>
      <c r="L290" s="8" t="n">
        <v>0</v>
      </c>
      <c r="M290" s="8" t="n">
        <v>6</v>
      </c>
      <c r="N290" s="8" t="n">
        <v>6</v>
      </c>
      <c r="O290" s="8" t="n">
        <v>7</v>
      </c>
      <c r="P290" s="8" t="n">
        <v>3</v>
      </c>
      <c r="Q290" s="8" t="inlineStr">
        <is>
          <t>2026-02-19</t>
        </is>
      </c>
      <c r="R290" s="8" t="inlineStr">
        <is>
          <t>UCAM Esports</t>
        </is>
      </c>
      <c r="S290" s="8" t="inlineStr">
        <is>
          <t>Haven_Fade,Killjoy,Omen,Viper,Yoru</t>
        </is>
      </c>
    </row>
    <row r="291">
      <c r="A291" s="12" t="inlineStr">
        <is>
          <t>0b839669-3599-4397-b854-cfa50df59d32</t>
        </is>
      </c>
      <c r="B291" s="12" t="inlineStr">
        <is>
          <t>Bind</t>
        </is>
      </c>
      <c r="C291" s="12" t="inlineStr">
        <is>
          <t>UCAM Esports</t>
        </is>
      </c>
      <c r="D291" s="12" t="inlineStr">
        <is>
          <t>FKS</t>
        </is>
      </c>
      <c r="E291" s="12" t="inlineStr">
        <is>
          <t>Brimstone,Chamber,Raze,Skye,Viper</t>
        </is>
      </c>
      <c r="F291" s="12" t="inlineStr">
        <is>
          <t>Brimstone,Fade,Raze,Viper,Yoru</t>
        </is>
      </c>
      <c r="G291" s="12" t="n">
        <v>11</v>
      </c>
      <c r="H291" s="12" t="n">
        <v>13</v>
      </c>
      <c r="I291" s="12" t="n">
        <v>7</v>
      </c>
      <c r="J291" s="12" t="n">
        <v>5</v>
      </c>
      <c r="K291" s="12" t="n">
        <v>1</v>
      </c>
      <c r="L291" s="12" t="n">
        <v>0</v>
      </c>
      <c r="M291" s="12" t="n">
        <v>4</v>
      </c>
      <c r="N291" s="12" t="n">
        <v>8</v>
      </c>
      <c r="O291" s="12" t="n">
        <v>7</v>
      </c>
      <c r="P291" s="12" t="n">
        <v>5</v>
      </c>
      <c r="Q291" s="12" t="inlineStr">
        <is>
          <t>2026-02-19</t>
        </is>
      </c>
      <c r="R291" s="12" t="inlineStr">
        <is>
          <t>FKS</t>
        </is>
      </c>
      <c r="S291" s="12" t="inlineStr">
        <is>
          <t>Bind_Brimstone,Chamber,Raze,Skye,Viper</t>
        </is>
      </c>
    </row>
    <row r="292">
      <c r="A292" s="8" t="inlineStr">
        <is>
          <t>8058bdf8-a34d-4ca0-9c7f-f20f0443ff2e</t>
        </is>
      </c>
      <c r="B292" s="8" t="inlineStr">
        <is>
          <t>Corrode</t>
        </is>
      </c>
      <c r="C292" s="8" t="inlineStr">
        <is>
          <t>UCAM Esports</t>
        </is>
      </c>
      <c r="D292" s="8" t="inlineStr">
        <is>
          <t>NOVO</t>
        </is>
      </c>
      <c r="E292" s="8" t="inlineStr">
        <is>
          <t>Fade,Omen,Sage,Viper,Waylay</t>
        </is>
      </c>
      <c r="F292" s="8" t="inlineStr">
        <is>
          <t>KAY/O,Omen,Sova,Viper,Waylay</t>
        </is>
      </c>
      <c r="G292" s="8" t="n">
        <v>13</v>
      </c>
      <c r="H292" s="8" t="n">
        <v>5</v>
      </c>
      <c r="I292" s="8" t="n">
        <v>10</v>
      </c>
      <c r="J292" s="8" t="n">
        <v>2</v>
      </c>
      <c r="K292" s="8" t="n">
        <v>1</v>
      </c>
      <c r="L292" s="8" t="n">
        <v>0</v>
      </c>
      <c r="M292" s="8" t="n">
        <v>10</v>
      </c>
      <c r="N292" s="8" t="n">
        <v>2</v>
      </c>
      <c r="O292" s="8" t="n">
        <v>3</v>
      </c>
      <c r="P292" s="8" t="n">
        <v>3</v>
      </c>
      <c r="Q292" s="8" t="inlineStr">
        <is>
          <t>2026-02-08</t>
        </is>
      </c>
      <c r="R292" s="8" t="inlineStr">
        <is>
          <t>UCAM Esports</t>
        </is>
      </c>
      <c r="S292" s="8" t="inlineStr">
        <is>
          <t>Corrode_Fade,Omen,Sage,Viper,Waylay</t>
        </is>
      </c>
    </row>
    <row r="293">
      <c r="A293" s="12" t="inlineStr">
        <is>
          <t>345115a4-5421-4be3-895d-05036bb2c6b7</t>
        </is>
      </c>
      <c r="B293" s="12" t="inlineStr">
        <is>
          <t>Haven</t>
        </is>
      </c>
      <c r="C293" s="12" t="inlineStr">
        <is>
          <t>UCAM Esports</t>
        </is>
      </c>
      <c r="D293" s="12" t="inlineStr">
        <is>
          <t>NOVO</t>
        </is>
      </c>
      <c r="E293" s="12" t="inlineStr">
        <is>
          <t>Fade,Killjoy,Omen,Viper,Yoru</t>
        </is>
      </c>
      <c r="F293" s="12" t="inlineStr">
        <is>
          <t>Killjoy,Neon,Omen,Sova,Viper</t>
        </is>
      </c>
      <c r="G293" s="12" t="n">
        <v>13</v>
      </c>
      <c r="H293" s="12" t="n">
        <v>2</v>
      </c>
      <c r="I293" s="12" t="n">
        <v>10</v>
      </c>
      <c r="J293" s="12" t="n">
        <v>2</v>
      </c>
      <c r="K293" s="12" t="n">
        <v>1</v>
      </c>
      <c r="L293" s="12" t="n">
        <v>1</v>
      </c>
      <c r="M293" s="12" t="n">
        <v>10</v>
      </c>
      <c r="N293" s="12" t="n">
        <v>2</v>
      </c>
      <c r="O293" s="12" t="n">
        <v>3</v>
      </c>
      <c r="P293" s="12" t="n">
        <v>0</v>
      </c>
      <c r="Q293" s="12" t="inlineStr">
        <is>
          <t>2026-02-08</t>
        </is>
      </c>
      <c r="R293" s="12" t="inlineStr">
        <is>
          <t>UCAM Esports</t>
        </is>
      </c>
      <c r="S293" s="12" t="inlineStr">
        <is>
          <t>Haven_Fade,Killjoy,Omen,Viper,Yoru</t>
        </is>
      </c>
    </row>
    <row r="294">
      <c r="A294" s="8" t="inlineStr">
        <is>
          <t>f14aa894-ba9c-45e0-800a-d0a3d651bc23</t>
        </is>
      </c>
      <c r="B294" s="8" t="inlineStr">
        <is>
          <t>Pearl</t>
        </is>
      </c>
      <c r="C294" s="8" t="inlineStr">
        <is>
          <t>UCAM Esports</t>
        </is>
      </c>
      <c r="D294" s="8" t="inlineStr">
        <is>
          <t>NOVO</t>
        </is>
      </c>
      <c r="E294" s="8" t="inlineStr">
        <is>
          <t>Astra,Fade,Killjoy,Tejo,Yoru</t>
        </is>
      </c>
      <c r="F294" s="8" t="inlineStr">
        <is>
          <t>Astra,Killjoy,Sova,Tejo,Yoru</t>
        </is>
      </c>
      <c r="G294" s="8" t="n">
        <v>13</v>
      </c>
      <c r="H294" s="8" t="n">
        <v>6</v>
      </c>
      <c r="I294" s="8" t="n">
        <v>6</v>
      </c>
      <c r="J294" s="8" t="n">
        <v>6</v>
      </c>
      <c r="K294" s="8" t="n">
        <v>1</v>
      </c>
      <c r="L294" s="8" t="n">
        <v>1</v>
      </c>
      <c r="M294" s="8" t="n">
        <v>6</v>
      </c>
      <c r="N294" s="8" t="n">
        <v>6</v>
      </c>
      <c r="O294" s="8" t="n">
        <v>7</v>
      </c>
      <c r="P294" s="8" t="n">
        <v>0</v>
      </c>
      <c r="Q294" s="8" t="inlineStr">
        <is>
          <t>2026-02-08</t>
        </is>
      </c>
      <c r="R294" s="8" t="inlineStr">
        <is>
          <t>UCAM Esports</t>
        </is>
      </c>
      <c r="S294" s="8" t="inlineStr">
        <is>
          <t>Pearl_Astra,Fade,Killjoy,Tejo,Yoru</t>
        </is>
      </c>
    </row>
    <row r="295">
      <c r="A295" s="12" t="inlineStr">
        <is>
          <t>ac31e14d-fc0f-47a2-9e2b-b1b0d798cb3a</t>
        </is>
      </c>
      <c r="B295" s="12" t="inlineStr">
        <is>
          <t>Breeze</t>
        </is>
      </c>
      <c r="C295" s="12" t="inlineStr">
        <is>
          <t>UCAM Esports</t>
        </is>
      </c>
      <c r="D295" s="12" t="inlineStr">
        <is>
          <t>BAR</t>
        </is>
      </c>
      <c r="E295" s="12" t="inlineStr">
        <is>
          <t>Astra,Jett,Sova,Viper,Yoru</t>
        </is>
      </c>
      <c r="F295" s="12" t="inlineStr">
        <is>
          <t>Astra,Jett,Sova,Viper,Yoru</t>
        </is>
      </c>
      <c r="G295" s="12" t="n">
        <v>13</v>
      </c>
      <c r="H295" s="12" t="n">
        <v>10</v>
      </c>
      <c r="I295" s="12" t="n">
        <v>5</v>
      </c>
      <c r="J295" s="12" t="n">
        <v>7</v>
      </c>
      <c r="K295" s="12" t="n">
        <v>0</v>
      </c>
      <c r="L295" s="12" t="n">
        <v>1</v>
      </c>
      <c r="M295" s="12" t="n">
        <v>5</v>
      </c>
      <c r="N295" s="12" t="n">
        <v>7</v>
      </c>
      <c r="O295" s="12" t="n">
        <v>8</v>
      </c>
      <c r="P295" s="12" t="n">
        <v>3</v>
      </c>
      <c r="Q295" s="12" t="inlineStr">
        <is>
          <t>2026-02-01</t>
        </is>
      </c>
      <c r="R295" s="12" t="inlineStr">
        <is>
          <t>UCAM Esports</t>
        </is>
      </c>
      <c r="S295" s="12" t="inlineStr">
        <is>
          <t>Breeze_Astra,Jett,Sova,Viper,Yoru</t>
        </is>
      </c>
    </row>
    <row r="296">
      <c r="A296" s="8" t="inlineStr">
        <is>
          <t>a51689d9-4658-4e65-ba73-a87b70063872</t>
        </is>
      </c>
      <c r="B296" s="8" t="inlineStr">
        <is>
          <t>Haven</t>
        </is>
      </c>
      <c r="C296" s="8" t="inlineStr">
        <is>
          <t>UCAM Esports</t>
        </is>
      </c>
      <c r="D296" s="8" t="inlineStr">
        <is>
          <t>BAR</t>
        </is>
      </c>
      <c r="E296" s="8" t="inlineStr">
        <is>
          <t>Fade,Killjoy,Omen,Viper,Yoru</t>
        </is>
      </c>
      <c r="F296" s="8" t="inlineStr">
        <is>
          <t>Killjoy,Neon,Omen,Sova,Viper</t>
        </is>
      </c>
      <c r="G296" s="8" t="n">
        <v>13</v>
      </c>
      <c r="H296" s="8" t="n">
        <v>5</v>
      </c>
      <c r="I296" s="8" t="n">
        <v>8</v>
      </c>
      <c r="J296" s="8" t="n">
        <v>4</v>
      </c>
      <c r="K296" s="8" t="n">
        <v>0</v>
      </c>
      <c r="L296" s="8" t="n">
        <v>1</v>
      </c>
      <c r="M296" s="8" t="n">
        <v>8</v>
      </c>
      <c r="N296" s="8" t="n">
        <v>4</v>
      </c>
      <c r="O296" s="8" t="n">
        <v>5</v>
      </c>
      <c r="P296" s="8" t="n">
        <v>1</v>
      </c>
      <c r="Q296" s="8" t="inlineStr">
        <is>
          <t>2026-02-01</t>
        </is>
      </c>
      <c r="R296" s="8" t="inlineStr">
        <is>
          <t>UCAM Esports</t>
        </is>
      </c>
      <c r="S296" s="8" t="inlineStr">
        <is>
          <t>Haven_Fade,Killjoy,Omen,Viper,Yoru</t>
        </is>
      </c>
    </row>
    <row r="297">
      <c r="A297" s="12" t="inlineStr">
        <is>
          <t>a6f96a5c-c380-460e-bf4c-cd79160d65a7</t>
        </is>
      </c>
      <c r="B297" s="12" t="inlineStr">
        <is>
          <t>Corrode</t>
        </is>
      </c>
      <c r="C297" s="12" t="inlineStr">
        <is>
          <t>UCAM Esports</t>
        </is>
      </c>
      <c r="D297" s="12" t="inlineStr">
        <is>
          <t>BAR</t>
        </is>
      </c>
      <c r="E297" s="12" t="inlineStr">
        <is>
          <t>Fade,Omen,Sage,Viper,Waylay</t>
        </is>
      </c>
      <c r="F297" s="12" t="inlineStr">
        <is>
          <t>Fade,Neon,Omen,Tejo,Viper</t>
        </is>
      </c>
      <c r="G297" s="12" t="n">
        <v>9</v>
      </c>
      <c r="H297" s="12" t="n">
        <v>13</v>
      </c>
      <c r="I297" s="12" t="n">
        <v>4</v>
      </c>
      <c r="J297" s="12" t="n">
        <v>8</v>
      </c>
      <c r="K297" s="12" t="n">
        <v>0</v>
      </c>
      <c r="L297" s="12" t="n">
        <v>1</v>
      </c>
      <c r="M297" s="12" t="n">
        <v>4</v>
      </c>
      <c r="N297" s="12" t="n">
        <v>8</v>
      </c>
      <c r="O297" s="12" t="n">
        <v>5</v>
      </c>
      <c r="P297" s="12" t="n">
        <v>5</v>
      </c>
      <c r="Q297" s="12" t="inlineStr">
        <is>
          <t>2026-02-01</t>
        </is>
      </c>
      <c r="R297" s="12" t="inlineStr">
        <is>
          <t>BAR</t>
        </is>
      </c>
      <c r="S297" s="12" t="inlineStr">
        <is>
          <t>Corrode_Fade,Omen,Sage,Viper,Waylay</t>
        </is>
      </c>
    </row>
    <row r="298">
      <c r="A298" s="8" t="inlineStr">
        <is>
          <t>68dc441f-9e2a-4526-a72f-0eb13cb9a81d</t>
        </is>
      </c>
      <c r="B298" s="8" t="inlineStr">
        <is>
          <t>Split</t>
        </is>
      </c>
      <c r="C298" s="8" t="inlineStr">
        <is>
          <t>UCAM Esports</t>
        </is>
      </c>
      <c r="D298" s="8" t="inlineStr">
        <is>
          <t>BAR</t>
        </is>
      </c>
      <c r="E298" s="8" t="inlineStr">
        <is>
          <t>Fade,Omen,Viper,Waylay,Yoru</t>
        </is>
      </c>
      <c r="F298" s="8" t="inlineStr">
        <is>
          <t>Breach,Omen,Skye,Viper,Waylay</t>
        </is>
      </c>
      <c r="G298" s="8" t="n">
        <v>11</v>
      </c>
      <c r="H298" s="8" t="n">
        <v>13</v>
      </c>
      <c r="I298" s="8" t="n">
        <v>5</v>
      </c>
      <c r="J298" s="8" t="n">
        <v>7</v>
      </c>
      <c r="K298" s="8" t="n">
        <v>1</v>
      </c>
      <c r="L298" s="8" t="n">
        <v>0</v>
      </c>
      <c r="M298" s="8" t="n">
        <v>6</v>
      </c>
      <c r="N298" s="8" t="n">
        <v>6</v>
      </c>
      <c r="O298" s="8" t="n">
        <v>5</v>
      </c>
      <c r="P298" s="8" t="n">
        <v>7</v>
      </c>
      <c r="Q298" s="8" t="inlineStr">
        <is>
          <t>2026-02-01</t>
        </is>
      </c>
      <c r="R298" s="8" t="inlineStr">
        <is>
          <t>BAR</t>
        </is>
      </c>
      <c r="S298" s="8" t="inlineStr">
        <is>
          <t>Split_Fade,Omen,Viper,Waylay,Yoru</t>
        </is>
      </c>
    </row>
    <row r="299">
      <c r="A299" s="12" t="inlineStr">
        <is>
          <t>6dc3c77d-76e5-43d3-b41d-3830c0a9d73c</t>
        </is>
      </c>
      <c r="B299" s="12" t="inlineStr">
        <is>
          <t>Pearl</t>
        </is>
      </c>
      <c r="C299" s="12" t="inlineStr">
        <is>
          <t>UCAM Esports</t>
        </is>
      </c>
      <c r="D299" s="12" t="inlineStr">
        <is>
          <t>BAR</t>
        </is>
      </c>
      <c r="E299" s="12" t="inlineStr">
        <is>
          <t>Astra,Fade,Killjoy,Tejo,Yoru</t>
        </is>
      </c>
      <c r="F299" s="12" t="inlineStr">
        <is>
          <t>Astra,Killjoy,Sova,Tejo,Waylay</t>
        </is>
      </c>
      <c r="G299" s="12" t="n">
        <v>13</v>
      </c>
      <c r="H299" s="12" t="n">
        <v>9</v>
      </c>
      <c r="I299" s="12" t="n">
        <v>4</v>
      </c>
      <c r="J299" s="12" t="n">
        <v>8</v>
      </c>
      <c r="K299" s="12" t="n">
        <v>1</v>
      </c>
      <c r="L299" s="12" t="n">
        <v>1</v>
      </c>
      <c r="M299" s="12" t="n">
        <v>4</v>
      </c>
      <c r="N299" s="12" t="n">
        <v>8</v>
      </c>
      <c r="O299" s="12" t="n">
        <v>9</v>
      </c>
      <c r="P299" s="12" t="n">
        <v>1</v>
      </c>
      <c r="Q299" s="12" t="inlineStr">
        <is>
          <t>2026-02-01</t>
        </is>
      </c>
      <c r="R299" s="12" t="inlineStr">
        <is>
          <t>UCAM Esports</t>
        </is>
      </c>
      <c r="S299" s="12" t="inlineStr">
        <is>
          <t>Pearl_Astra,Fade,Killjoy,Tejo,Yoru</t>
        </is>
      </c>
    </row>
    <row r="300">
      <c r="A300" s="8" t="inlineStr">
        <is>
          <t>2e352741-d2fe-473c-9a12-9c84b2301cde</t>
        </is>
      </c>
      <c r="B300" s="8" t="inlineStr">
        <is>
          <t>Breeze</t>
        </is>
      </c>
      <c r="C300" s="8" t="inlineStr">
        <is>
          <t>UCAM Esports</t>
        </is>
      </c>
      <c r="D300" s="8" t="inlineStr">
        <is>
          <t>BAR</t>
        </is>
      </c>
      <c r="E300" s="8" t="inlineStr">
        <is>
          <t>Cypher,Omen,Sova,Viper,Yoru</t>
        </is>
      </c>
      <c r="F300" s="8" t="inlineStr">
        <is>
          <t>Astra,Jett,Sova,Viper,Yoru</t>
        </is>
      </c>
      <c r="G300" s="8" t="n">
        <v>7</v>
      </c>
      <c r="H300" s="8" t="n">
        <v>13</v>
      </c>
      <c r="I300" s="8" t="n">
        <v>5</v>
      </c>
      <c r="J300" s="8" t="n">
        <v>7</v>
      </c>
      <c r="K300" s="8" t="n">
        <v>0</v>
      </c>
      <c r="L300" s="8" t="n">
        <v>0</v>
      </c>
      <c r="M300" s="8" t="n">
        <v>2</v>
      </c>
      <c r="N300" s="8" t="n">
        <v>6</v>
      </c>
      <c r="O300" s="8" t="n">
        <v>5</v>
      </c>
      <c r="P300" s="8" t="n">
        <v>7</v>
      </c>
      <c r="Q300" s="8" t="inlineStr">
        <is>
          <t>2026-01-26</t>
        </is>
      </c>
      <c r="R300" s="8" t="inlineStr">
        <is>
          <t>BAR</t>
        </is>
      </c>
      <c r="S300" s="8" t="inlineStr">
        <is>
          <t>Breeze_Cypher,Omen,Sova,Viper,Yoru</t>
        </is>
      </c>
    </row>
    <row r="301">
      <c r="A301" s="12" t="inlineStr">
        <is>
          <t>abf82913-a0dd-44e8-9759-eac84a2d8bda</t>
        </is>
      </c>
      <c r="B301" s="12" t="inlineStr">
        <is>
          <t>Bind</t>
        </is>
      </c>
      <c r="C301" s="12" t="inlineStr">
        <is>
          <t>UCAM Esports</t>
        </is>
      </c>
      <c r="D301" s="12" t="inlineStr">
        <is>
          <t>BAR</t>
        </is>
      </c>
      <c r="E301" s="12" t="inlineStr">
        <is>
          <t>Brimstone,Raze,Skye,Viper,Waylay</t>
        </is>
      </c>
      <c r="F301" s="12" t="inlineStr">
        <is>
          <t>Brimstone,Fade,Viper,Waylay,Yoru</t>
        </is>
      </c>
      <c r="G301" s="12" t="n">
        <v>7</v>
      </c>
      <c r="H301" s="12" t="n">
        <v>13</v>
      </c>
      <c r="I301" s="12" t="n">
        <v>4</v>
      </c>
      <c r="J301" s="12" t="n">
        <v>8</v>
      </c>
      <c r="K301" s="12" t="n">
        <v>0</v>
      </c>
      <c r="L301" s="12" t="n">
        <v>1</v>
      </c>
      <c r="M301" s="12" t="n">
        <v>4</v>
      </c>
      <c r="N301" s="12" t="n">
        <v>8</v>
      </c>
      <c r="O301" s="12" t="n">
        <v>3</v>
      </c>
      <c r="P301" s="12" t="n">
        <v>5</v>
      </c>
      <c r="Q301" s="12" t="inlineStr">
        <is>
          <t>2026-01-26</t>
        </is>
      </c>
      <c r="R301" s="12" t="inlineStr">
        <is>
          <t>BAR</t>
        </is>
      </c>
      <c r="S301" s="12" t="inlineStr">
        <is>
          <t>Bind_Brimstone,Raze,Skye,Viper,Waylay</t>
        </is>
      </c>
    </row>
    <row r="302">
      <c r="A302" s="8" t="inlineStr">
        <is>
          <t>fb3b4bc3-05bc-4479-b865-29e2260a4dc8</t>
        </is>
      </c>
      <c r="B302" s="8" t="inlineStr">
        <is>
          <t>Haven</t>
        </is>
      </c>
      <c r="C302" s="8" t="inlineStr">
        <is>
          <t>UCAM Esports</t>
        </is>
      </c>
      <c r="D302" s="8" t="inlineStr">
        <is>
          <t>FLK</t>
        </is>
      </c>
      <c r="E302" s="8" t="inlineStr">
        <is>
          <t>Fade,Killjoy,Omen,Viper,Yoru</t>
        </is>
      </c>
      <c r="F302" s="8" t="inlineStr">
        <is>
          <t>Killjoy,Neon,Omen,Sova,Viper</t>
        </is>
      </c>
      <c r="G302" s="8" t="n">
        <v>13</v>
      </c>
      <c r="H302" s="8" t="n">
        <v>3</v>
      </c>
      <c r="I302" s="8" t="n">
        <v>10</v>
      </c>
      <c r="J302" s="8" t="n">
        <v>2</v>
      </c>
      <c r="K302" s="8" t="n">
        <v>1</v>
      </c>
      <c r="L302" s="8" t="n">
        <v>1</v>
      </c>
      <c r="M302" s="8" t="n">
        <v>3</v>
      </c>
      <c r="N302" s="8" t="n">
        <v>1</v>
      </c>
      <c r="O302" s="8" t="n">
        <v>10</v>
      </c>
      <c r="P302" s="8" t="n">
        <v>2</v>
      </c>
      <c r="Q302" s="8" t="inlineStr">
        <is>
          <t>2026-01-25</t>
        </is>
      </c>
      <c r="R302" s="8" t="inlineStr">
        <is>
          <t>UCAM Esports</t>
        </is>
      </c>
      <c r="S302" s="8" t="inlineStr">
        <is>
          <t>Haven_Fade,Killjoy,Omen,Viper,Yoru</t>
        </is>
      </c>
    </row>
    <row r="303">
      <c r="A303" s="12" t="inlineStr">
        <is>
          <t>3f81433b-d7f9-4a9d-ba29-8eed0cbdf51b</t>
        </is>
      </c>
      <c r="B303" s="12" t="inlineStr">
        <is>
          <t>Corrode</t>
        </is>
      </c>
      <c r="C303" s="12" t="inlineStr">
        <is>
          <t>UCAM Esports</t>
        </is>
      </c>
      <c r="D303" s="12" t="inlineStr">
        <is>
          <t>FLK</t>
        </is>
      </c>
      <c r="E303" s="12" t="inlineStr">
        <is>
          <t>Fade,Omen,Sage,Viper,Waylay</t>
        </is>
      </c>
      <c r="F303" s="12" t="inlineStr">
        <is>
          <t>KAY/O,Omen,Sova,Viper,Waylay</t>
        </is>
      </c>
      <c r="G303" s="12" t="n">
        <v>13</v>
      </c>
      <c r="H303" s="12" t="n">
        <v>3</v>
      </c>
      <c r="I303" s="12" t="n">
        <v>9</v>
      </c>
      <c r="J303" s="12" t="n">
        <v>3</v>
      </c>
      <c r="K303" s="12" t="n">
        <v>1</v>
      </c>
      <c r="L303" s="12" t="n">
        <v>1</v>
      </c>
      <c r="M303" s="12" t="n">
        <v>9</v>
      </c>
      <c r="N303" s="12" t="n">
        <v>3</v>
      </c>
      <c r="O303" s="12" t="n">
        <v>4</v>
      </c>
      <c r="P303" s="12" t="n">
        <v>0</v>
      </c>
      <c r="Q303" s="12" t="inlineStr">
        <is>
          <t>2026-01-25</t>
        </is>
      </c>
      <c r="R303" s="12" t="inlineStr">
        <is>
          <t>UCAM Esports</t>
        </is>
      </c>
      <c r="S303" s="12" t="inlineStr">
        <is>
          <t>Corrode_Fade,Omen,Sage,Viper,Waylay</t>
        </is>
      </c>
    </row>
    <row r="304">
      <c r="A304" s="8" t="inlineStr">
        <is>
          <t>67c4dd35-1b86-469c-8309-a7f53f1e40e2</t>
        </is>
      </c>
      <c r="B304" s="8" t="inlineStr">
        <is>
          <t>Abyss</t>
        </is>
      </c>
      <c r="C304" s="8" t="inlineStr">
        <is>
          <t>UCAM Esports</t>
        </is>
      </c>
      <c r="D304" s="8" t="inlineStr">
        <is>
          <t>DSY</t>
        </is>
      </c>
      <c r="E304" s="8" t="inlineStr">
        <is>
          <t>Astra,Breach,Tejo,Waylay,Yoru</t>
        </is>
      </c>
      <c r="F304" s="8" t="inlineStr">
        <is>
          <t>Astra,Sova,Veto,Waylay,Yoru</t>
        </is>
      </c>
      <c r="G304" s="8" t="n">
        <v>10</v>
      </c>
      <c r="H304" s="8" t="n">
        <v>13</v>
      </c>
      <c r="I304" s="8" t="n">
        <v>4</v>
      </c>
      <c r="J304" s="8" t="n">
        <v>8</v>
      </c>
      <c r="K304" s="8" t="n">
        <v>0</v>
      </c>
      <c r="L304" s="8" t="n">
        <v>1</v>
      </c>
      <c r="M304" s="8" t="n">
        <v>6</v>
      </c>
      <c r="N304" s="8" t="n">
        <v>5</v>
      </c>
      <c r="O304" s="8" t="n">
        <v>4</v>
      </c>
      <c r="P304" s="8" t="n">
        <v>8</v>
      </c>
      <c r="Q304" s="8" t="inlineStr">
        <is>
          <t>2026-01-19</t>
        </is>
      </c>
      <c r="R304" s="8" t="inlineStr">
        <is>
          <t>DSY</t>
        </is>
      </c>
      <c r="S304" s="8" t="inlineStr">
        <is>
          <t>Abyss_Astra,Breach,Tejo,Waylay,Yoru</t>
        </is>
      </c>
    </row>
    <row r="305">
      <c r="A305" s="12" t="inlineStr">
        <is>
          <t>adf6c50e-baa0-49e0-acc1-a37568b851a3</t>
        </is>
      </c>
      <c r="B305" s="12" t="inlineStr">
        <is>
          <t>Haven</t>
        </is>
      </c>
      <c r="C305" s="12" t="inlineStr">
        <is>
          <t>UCAM Esports</t>
        </is>
      </c>
      <c r="D305" s="12" t="inlineStr">
        <is>
          <t>DSY</t>
        </is>
      </c>
      <c r="E305" s="12" t="inlineStr">
        <is>
          <t>Fade,Killjoy,Omen,Viper,Yoru</t>
        </is>
      </c>
      <c r="F305" s="12" t="inlineStr">
        <is>
          <t>Killjoy,Neon,Omen,Sova,Viper</t>
        </is>
      </c>
      <c r="G305" s="12" t="n">
        <v>13</v>
      </c>
      <c r="H305" s="12" t="n">
        <v>10</v>
      </c>
      <c r="I305" s="12" t="n">
        <v>7</v>
      </c>
      <c r="J305" s="12" t="n">
        <v>5</v>
      </c>
      <c r="K305" s="12" t="n">
        <v>1</v>
      </c>
      <c r="L305" s="12" t="n">
        <v>0</v>
      </c>
      <c r="M305" s="12" t="n">
        <v>7</v>
      </c>
      <c r="N305" s="12" t="n">
        <v>5</v>
      </c>
      <c r="O305" s="12" t="n">
        <v>6</v>
      </c>
      <c r="P305" s="12" t="n">
        <v>5</v>
      </c>
      <c r="Q305" s="12" t="inlineStr">
        <is>
          <t>2026-01-19</t>
        </is>
      </c>
      <c r="R305" s="12" t="inlineStr">
        <is>
          <t>UCAM Esports</t>
        </is>
      </c>
      <c r="S305" s="12" t="inlineStr">
        <is>
          <t>Haven_Fade,Killjoy,Omen,Viper,Yoru</t>
        </is>
      </c>
    </row>
    <row r="306">
      <c r="A306" s="8" t="inlineStr">
        <is>
          <t>c5302952-ee16-4ad1-9111-22c6353fda84</t>
        </is>
      </c>
      <c r="B306" s="8" t="inlineStr">
        <is>
          <t>Bind</t>
        </is>
      </c>
      <c r="C306" s="8" t="inlineStr">
        <is>
          <t>UCAM Esports</t>
        </is>
      </c>
      <c r="D306" s="8" t="inlineStr">
        <is>
          <t>RBT</t>
        </is>
      </c>
      <c r="E306" s="8" t="inlineStr">
        <is>
          <t>Brimstone,Raze,Skye,Viper,Waylay</t>
        </is>
      </c>
      <c r="F306" s="8" t="inlineStr">
        <is>
          <t>Brimstone,Fade,Raze,Viper,Yoru</t>
        </is>
      </c>
      <c r="G306" s="8" t="n">
        <v>8</v>
      </c>
      <c r="H306" s="8" t="n">
        <v>13</v>
      </c>
      <c r="I306" s="8" t="n">
        <v>7</v>
      </c>
      <c r="J306" s="8" t="n">
        <v>5</v>
      </c>
      <c r="K306" s="8" t="n">
        <v>1</v>
      </c>
      <c r="L306" s="8" t="n">
        <v>0</v>
      </c>
      <c r="M306" s="8" t="n">
        <v>7</v>
      </c>
      <c r="N306" s="8" t="n">
        <v>5</v>
      </c>
      <c r="O306" s="8" t="n">
        <v>1</v>
      </c>
      <c r="P306" s="8" t="n">
        <v>8</v>
      </c>
      <c r="Q306" s="8" t="inlineStr">
        <is>
          <t>2026-01-18</t>
        </is>
      </c>
      <c r="R306" s="8" t="inlineStr">
        <is>
          <t>RBT</t>
        </is>
      </c>
      <c r="S306" s="8" t="inlineStr">
        <is>
          <t>Bind_Brimstone,Raze,Skye,Viper,Waylay</t>
        </is>
      </c>
    </row>
    <row r="307">
      <c r="A307" s="12" t="inlineStr">
        <is>
          <t>a15763a2-25e2-4baa-8c48-eb6ae384b791</t>
        </is>
      </c>
      <c r="B307" s="12" t="inlineStr">
        <is>
          <t>Corrode</t>
        </is>
      </c>
      <c r="C307" s="12" t="inlineStr">
        <is>
          <t>UCAM Esports</t>
        </is>
      </c>
      <c r="D307" s="12" t="inlineStr">
        <is>
          <t>RBT</t>
        </is>
      </c>
      <c r="E307" s="12" t="inlineStr">
        <is>
          <t>Fade,Omen,Sage,Viper,Waylay</t>
        </is>
      </c>
      <c r="F307" s="12" t="inlineStr">
        <is>
          <t>Fade,Omen,Viper,Waylay,Yoru</t>
        </is>
      </c>
      <c r="G307" s="12" t="n">
        <v>13</v>
      </c>
      <c r="H307" s="12" t="n">
        <v>10</v>
      </c>
      <c r="I307" s="12" t="n">
        <v>7</v>
      </c>
      <c r="J307" s="12" t="n">
        <v>5</v>
      </c>
      <c r="K307" s="12" t="n">
        <v>0</v>
      </c>
      <c r="L307" s="12" t="n">
        <v>1</v>
      </c>
      <c r="M307" s="12" t="n">
        <v>7</v>
      </c>
      <c r="N307" s="12" t="n">
        <v>5</v>
      </c>
      <c r="O307" s="12" t="n">
        <v>6</v>
      </c>
      <c r="P307" s="12" t="n">
        <v>5</v>
      </c>
      <c r="Q307" s="12" t="inlineStr">
        <is>
          <t>2026-01-18</t>
        </is>
      </c>
      <c r="R307" s="12" t="inlineStr">
        <is>
          <t>UCAM Esports</t>
        </is>
      </c>
      <c r="S307" s="12" t="inlineStr">
        <is>
          <t>Corrode_Fade,Omen,Sage,Viper,Waylay</t>
        </is>
      </c>
    </row>
    <row r="308">
      <c r="A308" s="8" t="inlineStr">
        <is>
          <t>4310ac33-a757-4457-9200-826ccb9c136a</t>
        </is>
      </c>
      <c r="B308" s="8" t="inlineStr">
        <is>
          <t>Corrode</t>
        </is>
      </c>
      <c r="C308" s="8" t="inlineStr">
        <is>
          <t>UCAM Esports</t>
        </is>
      </c>
      <c r="D308" s="8" t="inlineStr">
        <is>
          <t>KPI</t>
        </is>
      </c>
      <c r="E308" s="8" t="inlineStr">
        <is>
          <t>Fade,Omen,Sage,Viper,Waylay</t>
        </is>
      </c>
      <c r="F308" s="8" t="inlineStr">
        <is>
          <t>Cypher,Fade,Omen,Viper,Waylay</t>
        </is>
      </c>
      <c r="G308" s="8" t="n">
        <v>13</v>
      </c>
      <c r="H308" s="8" t="n">
        <v>11</v>
      </c>
      <c r="I308" s="8" t="n">
        <v>4</v>
      </c>
      <c r="J308" s="8" t="n">
        <v>8</v>
      </c>
      <c r="K308" s="8" t="n">
        <v>1</v>
      </c>
      <c r="L308" s="8" t="n">
        <v>0</v>
      </c>
      <c r="M308" s="8" t="n">
        <v>9</v>
      </c>
      <c r="N308" s="8" t="n">
        <v>3</v>
      </c>
      <c r="O308" s="8" t="n">
        <v>4</v>
      </c>
      <c r="P308" s="8" t="n">
        <v>8</v>
      </c>
      <c r="Q308" s="8" t="inlineStr">
        <is>
          <t>2026-01-13</t>
        </is>
      </c>
      <c r="R308" s="8" t="inlineStr">
        <is>
          <t>UCAM Esports</t>
        </is>
      </c>
      <c r="S308" s="8" t="inlineStr">
        <is>
          <t>Corrode_Fade,Omen,Sage,Viper,Waylay</t>
        </is>
      </c>
    </row>
    <row r="309">
      <c r="A309" s="12" t="inlineStr">
        <is>
          <t>526b1597-bcda-473a-be55-7f3ad1a0d6f0</t>
        </is>
      </c>
      <c r="B309" s="12" t="inlineStr">
        <is>
          <t>Bind</t>
        </is>
      </c>
      <c r="C309" s="12" t="inlineStr">
        <is>
          <t>UCAM Esports</t>
        </is>
      </c>
      <c r="D309" s="12" t="inlineStr">
        <is>
          <t>KPI</t>
        </is>
      </c>
      <c r="E309" s="12" t="inlineStr">
        <is>
          <t>Brimstone,Raze,Skye,Viper,Waylay</t>
        </is>
      </c>
      <c r="F309" s="12" t="inlineStr">
        <is>
          <t>Brimstone,Fade,Raze,Viper,Yoru</t>
        </is>
      </c>
      <c r="G309" s="12" t="n">
        <v>10</v>
      </c>
      <c r="H309" s="12" t="n">
        <v>13</v>
      </c>
      <c r="I309" s="12" t="n">
        <v>5</v>
      </c>
      <c r="J309" s="12" t="n">
        <v>7</v>
      </c>
      <c r="K309" s="12" t="n">
        <v>1</v>
      </c>
      <c r="L309" s="12" t="n">
        <v>1</v>
      </c>
      <c r="M309" s="12" t="n">
        <v>5</v>
      </c>
      <c r="N309" s="12" t="n">
        <v>7</v>
      </c>
      <c r="O309" s="12" t="n">
        <v>5</v>
      </c>
      <c r="P309" s="12" t="n">
        <v>6</v>
      </c>
      <c r="Q309" s="12" t="inlineStr">
        <is>
          <t>2026-01-13</t>
        </is>
      </c>
      <c r="R309" s="12" t="inlineStr">
        <is>
          <t>KPI</t>
        </is>
      </c>
      <c r="S309" s="12" t="inlineStr">
        <is>
          <t>Bind_Brimstone,Raze,Skye,Viper,Waylay</t>
        </is>
      </c>
    </row>
    <row r="310">
      <c r="A310" s="8" t="inlineStr">
        <is>
          <t>0250a7c0-554e-40c6-9524-d85e27476706</t>
        </is>
      </c>
      <c r="B310" s="8" t="inlineStr">
        <is>
          <t>Bind</t>
        </is>
      </c>
      <c r="C310" s="8" t="inlineStr">
        <is>
          <t>UCAM Esports</t>
        </is>
      </c>
      <c r="D310" s="8" t="inlineStr">
        <is>
          <t>NOVO</t>
        </is>
      </c>
      <c r="E310" s="8" t="inlineStr">
        <is>
          <t>Brimstone,Raze,Skye,Viper,Waylay</t>
        </is>
      </c>
      <c r="F310" s="8" t="inlineStr">
        <is>
          <t>Brimstone,Gekko,Raze,Skye,Viper</t>
        </is>
      </c>
      <c r="G310" s="8" t="n">
        <v>0</v>
      </c>
      <c r="H310" s="8" t="n">
        <v>13</v>
      </c>
      <c r="I310" s="8" t="n">
        <v>0</v>
      </c>
      <c r="J310" s="8" t="n">
        <v>12</v>
      </c>
      <c r="K310" s="8" t="n">
        <v>0</v>
      </c>
      <c r="L310" s="8" t="n">
        <v>0</v>
      </c>
      <c r="M310" s="8" t="n">
        <v>0</v>
      </c>
      <c r="N310" s="8" t="n">
        <v>1</v>
      </c>
      <c r="O310" s="8" t="n">
        <v>0</v>
      </c>
      <c r="P310" s="8" t="n">
        <v>12</v>
      </c>
      <c r="Q310" s="8" t="inlineStr">
        <is>
          <t>2026-01-12</t>
        </is>
      </c>
      <c r="R310" s="8" t="inlineStr">
        <is>
          <t>NOVO</t>
        </is>
      </c>
      <c r="S310" s="8" t="inlineStr">
        <is>
          <t>Bind_Brimstone,Raze,Skye,Viper,Waylay</t>
        </is>
      </c>
    </row>
    <row r="311">
      <c r="A311" s="12" t="inlineStr">
        <is>
          <t>5a968c5d-6ae1-4da2-9f49-239df4b356c2</t>
        </is>
      </c>
      <c r="B311" s="12" t="inlineStr">
        <is>
          <t>Haven</t>
        </is>
      </c>
      <c r="C311" s="12" t="inlineStr">
        <is>
          <t>UCAM Esports</t>
        </is>
      </c>
      <c r="D311" s="12" t="inlineStr">
        <is>
          <t>NOVO</t>
        </is>
      </c>
      <c r="E311" s="12" t="inlineStr">
        <is>
          <t>Fade,Killjoy,Omen,Viper,Yoru</t>
        </is>
      </c>
      <c r="F311" s="12" t="inlineStr">
        <is>
          <t>Killjoy,Neon,Omen,Sova,Viper</t>
        </is>
      </c>
      <c r="G311" s="12" t="n">
        <v>14</v>
      </c>
      <c r="H311" s="12" t="n">
        <v>12</v>
      </c>
      <c r="I311" s="12" t="n">
        <v>8</v>
      </c>
      <c r="J311" s="12" t="n">
        <v>4</v>
      </c>
      <c r="K311" s="12" t="n">
        <v>1</v>
      </c>
      <c r="L311" s="12" t="n">
        <v>0</v>
      </c>
      <c r="M311" s="12" t="n">
        <v>9</v>
      </c>
      <c r="N311" s="12" t="n">
        <v>4</v>
      </c>
      <c r="O311" s="12" t="n">
        <v>5</v>
      </c>
      <c r="P311" s="12" t="n">
        <v>8</v>
      </c>
      <c r="Q311" s="12" t="inlineStr">
        <is>
          <t>2026-01-12</t>
        </is>
      </c>
      <c r="R311" s="12" t="inlineStr">
        <is>
          <t>UCAM Esports</t>
        </is>
      </c>
      <c r="S311" s="12" t="inlineStr">
        <is>
          <t>Haven_Fade,Killjoy,Omen,Viper,Yoru</t>
        </is>
      </c>
    </row>
    <row r="312">
      <c r="A312" s="8" t="inlineStr">
        <is>
          <t>d73968eb-e990-4872-b71b-46c9fd998466</t>
        </is>
      </c>
      <c r="B312" s="8" t="inlineStr">
        <is>
          <t>Bind</t>
        </is>
      </c>
      <c r="C312" s="8" t="inlineStr">
        <is>
          <t>UCAM Esports</t>
        </is>
      </c>
      <c r="D312" s="8" t="inlineStr">
        <is>
          <t>OTK</t>
        </is>
      </c>
      <c r="E312" s="8" t="inlineStr">
        <is>
          <t>Brimstone,Raze,Skye,Viper,Waylay</t>
        </is>
      </c>
      <c r="F312" s="8" t="inlineStr">
        <is>
          <t>Brimstone,Fade,Viper,Waylay,Yoru</t>
        </is>
      </c>
      <c r="G312" s="8" t="n">
        <v>13</v>
      </c>
      <c r="H312" s="8" t="n">
        <v>4</v>
      </c>
      <c r="I312" s="8" t="n">
        <v>9</v>
      </c>
      <c r="J312" s="8" t="n">
        <v>3</v>
      </c>
      <c r="K312" s="8" t="n">
        <v>1</v>
      </c>
      <c r="L312" s="8" t="n">
        <v>1</v>
      </c>
      <c r="M312" s="8" t="n">
        <v>4</v>
      </c>
      <c r="N312" s="8" t="n">
        <v>1</v>
      </c>
      <c r="O312" s="8" t="n">
        <v>9</v>
      </c>
      <c r="P312" s="8" t="n">
        <v>3</v>
      </c>
      <c r="Q312" s="8" t="inlineStr">
        <is>
          <t>2026-01-11</t>
        </is>
      </c>
      <c r="R312" s="8" t="inlineStr">
        <is>
          <t>UCAM Esports</t>
        </is>
      </c>
      <c r="S312" s="8" t="inlineStr">
        <is>
          <t>Bind_Brimstone,Raze,Skye,Viper,Waylay</t>
        </is>
      </c>
    </row>
    <row r="313">
      <c r="A313" s="12" t="inlineStr">
        <is>
          <t>488b0846-f97c-4499-9a4c-eada144441c0</t>
        </is>
      </c>
      <c r="B313" s="12" t="inlineStr">
        <is>
          <t>Corrode</t>
        </is>
      </c>
      <c r="C313" s="12" t="inlineStr">
        <is>
          <t>UCAM Esports</t>
        </is>
      </c>
      <c r="D313" s="12" t="inlineStr">
        <is>
          <t>OTK</t>
        </is>
      </c>
      <c r="E313" s="12" t="inlineStr">
        <is>
          <t>Fade,Omen,Sage,Viper,Waylay</t>
        </is>
      </c>
      <c r="F313" s="12" t="inlineStr">
        <is>
          <t>Fade,Omen,Veto,Viper,Waylay</t>
        </is>
      </c>
      <c r="G313" s="12" t="n">
        <v>13</v>
      </c>
      <c r="H313" s="12" t="n">
        <v>8</v>
      </c>
      <c r="I313" s="12" t="n">
        <v>7</v>
      </c>
      <c r="J313" s="12" t="n">
        <v>5</v>
      </c>
      <c r="K313" s="12" t="n">
        <v>1</v>
      </c>
      <c r="L313" s="12" t="n">
        <v>1</v>
      </c>
      <c r="M313" s="12" t="n">
        <v>6</v>
      </c>
      <c r="N313" s="12" t="n">
        <v>3</v>
      </c>
      <c r="O313" s="12" t="n">
        <v>7</v>
      </c>
      <c r="P313" s="12" t="n">
        <v>5</v>
      </c>
      <c r="Q313" s="12" t="inlineStr">
        <is>
          <t>2026-01-11</t>
        </is>
      </c>
      <c r="R313" s="12" t="inlineStr">
        <is>
          <t>UCAM Esports</t>
        </is>
      </c>
      <c r="S313" s="12" t="inlineStr">
        <is>
          <t>Corrode_Fade,Omen,Sage,Viper,Waylay</t>
        </is>
      </c>
    </row>
    <row r="314">
      <c r="A314" s="8" t="inlineStr">
        <is>
          <t>5bdb43aa-e42e-4c6b-82c6-af33bf93046e</t>
        </is>
      </c>
      <c r="B314" s="8" t="inlineStr">
        <is>
          <t>Breeze</t>
        </is>
      </c>
      <c r="C314" s="8" t="inlineStr">
        <is>
          <t>Misa Esports</t>
        </is>
      </c>
      <c r="D314" s="8" t="inlineStr">
        <is>
          <t>S2G</t>
        </is>
      </c>
      <c r="E314" s="8" t="inlineStr">
        <is>
          <t>Astra,Neon,Sova,Viper,Yoru</t>
        </is>
      </c>
      <c r="F314" s="8" t="inlineStr">
        <is>
          <t>Astra,Neon,Sova,Viper,Yoru</t>
        </is>
      </c>
      <c r="G314" s="8" t="n">
        <v>13</v>
      </c>
      <c r="H314" s="8" t="n">
        <v>5</v>
      </c>
      <c r="I314" s="8" t="n">
        <v>7</v>
      </c>
      <c r="J314" s="8" t="n">
        <v>5</v>
      </c>
      <c r="K314" s="8" t="n">
        <v>1</v>
      </c>
      <c r="L314" s="8" t="n">
        <v>0</v>
      </c>
      <c r="M314" s="8" t="n">
        <v>6</v>
      </c>
      <c r="N314" s="8" t="n">
        <v>0</v>
      </c>
      <c r="O314" s="8" t="n">
        <v>7</v>
      </c>
      <c r="P314" s="8" t="n">
        <v>5</v>
      </c>
      <c r="Q314" s="8" t="inlineStr">
        <is>
          <t>2026-03-08</t>
        </is>
      </c>
      <c r="R314" s="8" t="inlineStr">
        <is>
          <t>Misa Esports</t>
        </is>
      </c>
      <c r="S314" s="8" t="inlineStr">
        <is>
          <t>Breeze_Astra,Neon,Sova,Viper,Yoru</t>
        </is>
      </c>
    </row>
    <row r="315">
      <c r="A315" s="12" t="inlineStr">
        <is>
          <t>46d247f5-f9e1-47e1-a319-c6650a757a1e</t>
        </is>
      </c>
      <c r="B315" s="12" t="inlineStr">
        <is>
          <t>Haven</t>
        </is>
      </c>
      <c r="C315" s="12" t="inlineStr">
        <is>
          <t>Misa Esports</t>
        </is>
      </c>
      <c r="D315" s="12" t="inlineStr">
        <is>
          <t>S2G</t>
        </is>
      </c>
      <c r="E315" s="12" t="inlineStr">
        <is>
          <t>Cypher,Neon,Omen,Sova,Yoru</t>
        </is>
      </c>
      <c r="F315" s="12" t="inlineStr">
        <is>
          <t>Astra,Cypher,Neon,Sova,Yoru</t>
        </is>
      </c>
      <c r="G315" s="12" t="n">
        <v>13</v>
      </c>
      <c r="H315" s="12" t="n">
        <v>8</v>
      </c>
      <c r="I315" s="12" t="n">
        <v>10</v>
      </c>
      <c r="J315" s="12" t="n">
        <v>2</v>
      </c>
      <c r="K315" s="12" t="n">
        <v>1</v>
      </c>
      <c r="L315" s="12" t="n">
        <v>0</v>
      </c>
      <c r="M315" s="12" t="n">
        <v>10</v>
      </c>
      <c r="N315" s="12" t="n">
        <v>2</v>
      </c>
      <c r="O315" s="12" t="n">
        <v>3</v>
      </c>
      <c r="P315" s="12" t="n">
        <v>6</v>
      </c>
      <c r="Q315" s="12" t="inlineStr">
        <is>
          <t>2026-03-08</t>
        </is>
      </c>
      <c r="R315" s="12" t="inlineStr">
        <is>
          <t>Misa Esports</t>
        </is>
      </c>
      <c r="S315" s="12" t="inlineStr">
        <is>
          <t>Haven_Cypher,Neon,Omen,Sova,Yoru</t>
        </is>
      </c>
    </row>
    <row r="316">
      <c r="A316" s="8" t="inlineStr">
        <is>
          <t>0d8633cc-9e8c-4a20-bea1-dd07d5a365da</t>
        </is>
      </c>
      <c r="B316" s="8" t="inlineStr">
        <is>
          <t>Pearl</t>
        </is>
      </c>
      <c r="C316" s="8" t="inlineStr">
        <is>
          <t>Misa Esports</t>
        </is>
      </c>
      <c r="D316" s="8" t="inlineStr">
        <is>
          <t>S2G</t>
        </is>
      </c>
      <c r="E316" s="8" t="inlineStr">
        <is>
          <t>Astra,KAY/O,Killjoy,Tejo,Waylay</t>
        </is>
      </c>
      <c r="F316" s="8" t="inlineStr">
        <is>
          <t>Astra,Cypher,Neon,Sova,Yoru</t>
        </is>
      </c>
      <c r="G316" s="8" t="n">
        <v>13</v>
      </c>
      <c r="H316" s="8" t="n">
        <v>6</v>
      </c>
      <c r="I316" s="8" t="n">
        <v>8</v>
      </c>
      <c r="J316" s="8" t="n">
        <v>4</v>
      </c>
      <c r="K316" s="8" t="n">
        <v>0</v>
      </c>
      <c r="L316" s="8" t="n">
        <v>1</v>
      </c>
      <c r="M316" s="8" t="n">
        <v>5</v>
      </c>
      <c r="N316" s="8" t="n">
        <v>2</v>
      </c>
      <c r="O316" s="8" t="n">
        <v>8</v>
      </c>
      <c r="P316" s="8" t="n">
        <v>4</v>
      </c>
      <c r="Q316" s="8" t="inlineStr">
        <is>
          <t>2026-03-08</t>
        </is>
      </c>
      <c r="R316" s="8" t="inlineStr">
        <is>
          <t>Misa Esports</t>
        </is>
      </c>
      <c r="S316" s="8" t="inlineStr">
        <is>
          <t>Pearl_Astra,KAY/O,Killjoy,Tejo,Waylay</t>
        </is>
      </c>
    </row>
    <row r="317">
      <c r="A317" s="12" t="inlineStr">
        <is>
          <t>6e60bc55-1ccd-4a49-990d-3d480a028ab3</t>
        </is>
      </c>
      <c r="B317" s="12" t="inlineStr">
        <is>
          <t>Split</t>
        </is>
      </c>
      <c r="C317" s="12" t="inlineStr">
        <is>
          <t>Misa Esports</t>
        </is>
      </c>
      <c r="D317" s="12" t="inlineStr">
        <is>
          <t>S2G</t>
        </is>
      </c>
      <c r="E317" s="12" t="inlineStr">
        <is>
          <t>Breach,Fade,Omen,Viper,Waylay</t>
        </is>
      </c>
      <c r="F317" s="12" t="inlineStr">
        <is>
          <t>Astra,Neon,Omen,Waylay,Yoru</t>
        </is>
      </c>
      <c r="G317" s="12" t="n">
        <v>10</v>
      </c>
      <c r="H317" s="12" t="n">
        <v>13</v>
      </c>
      <c r="I317" s="12" t="n">
        <v>4</v>
      </c>
      <c r="J317" s="12" t="n">
        <v>8</v>
      </c>
      <c r="K317" s="12" t="n">
        <v>0</v>
      </c>
      <c r="L317" s="12" t="n">
        <v>1</v>
      </c>
      <c r="M317" s="12" t="n">
        <v>6</v>
      </c>
      <c r="N317" s="12" t="n">
        <v>5</v>
      </c>
      <c r="O317" s="12" t="n">
        <v>4</v>
      </c>
      <c r="P317" s="12" t="n">
        <v>8</v>
      </c>
      <c r="Q317" s="12" t="inlineStr">
        <is>
          <t>2026-03-08</t>
        </is>
      </c>
      <c r="R317" s="12" t="inlineStr">
        <is>
          <t>S2G</t>
        </is>
      </c>
      <c r="S317" s="12" t="inlineStr">
        <is>
          <t>Split_Breach,Fade,Omen,Viper,Waylay</t>
        </is>
      </c>
    </row>
    <row r="318">
      <c r="A318" s="8" t="inlineStr">
        <is>
          <t>90bca547-451a-492a-b390-faf1df7bec0e</t>
        </is>
      </c>
      <c r="B318" s="8" t="inlineStr">
        <is>
          <t>Split</t>
        </is>
      </c>
      <c r="C318" s="8" t="inlineStr">
        <is>
          <t>Misa Esports</t>
        </is>
      </c>
      <c r="D318" s="8" t="inlineStr">
        <is>
          <t>BJK</t>
        </is>
      </c>
      <c r="E318" s="8" t="inlineStr">
        <is>
          <t>Breach,Fade,Omen,Viper,Waylay</t>
        </is>
      </c>
      <c r="F318" s="8" t="inlineStr">
        <is>
          <t>Fade,Omen,Raze,Viper,Yoru</t>
        </is>
      </c>
      <c r="G318" s="8" t="n">
        <v>13</v>
      </c>
      <c r="H318" s="8" t="n">
        <v>9</v>
      </c>
      <c r="I318" s="8" t="n">
        <v>7</v>
      </c>
      <c r="J318" s="8" t="n">
        <v>5</v>
      </c>
      <c r="K318" s="8" t="n">
        <v>0</v>
      </c>
      <c r="L318" s="8" t="n">
        <v>1</v>
      </c>
      <c r="M318" s="8" t="n">
        <v>6</v>
      </c>
      <c r="N318" s="8" t="n">
        <v>4</v>
      </c>
      <c r="O318" s="8" t="n">
        <v>7</v>
      </c>
      <c r="P318" s="8" t="n">
        <v>5</v>
      </c>
      <c r="Q318" s="8" t="inlineStr">
        <is>
          <t>2026-03-01</t>
        </is>
      </c>
      <c r="R318" s="8" t="inlineStr">
        <is>
          <t>Misa Esports</t>
        </is>
      </c>
      <c r="S318" s="8" t="inlineStr">
        <is>
          <t>Split_Breach,Fade,Omen,Viper,Waylay</t>
        </is>
      </c>
    </row>
    <row r="319">
      <c r="A319" s="12" t="inlineStr">
        <is>
          <t>6e6ceaea-9299-498e-9836-04bbc5b4fb3d</t>
        </is>
      </c>
      <c r="B319" s="12" t="inlineStr">
        <is>
          <t>Abyss</t>
        </is>
      </c>
      <c r="C319" s="12" t="inlineStr">
        <is>
          <t>Misa Esports</t>
        </is>
      </c>
      <c r="D319" s="12" t="inlineStr">
        <is>
          <t>BJK</t>
        </is>
      </c>
      <c r="E319" s="12" t="inlineStr">
        <is>
          <t>Astra,KAY/O,Omen,Sova,Waylay</t>
        </is>
      </c>
      <c r="F319" s="12" t="inlineStr">
        <is>
          <t>Astra,Omen,Sova,Tejo,Waylay</t>
        </is>
      </c>
      <c r="G319" s="12" t="n">
        <v>13</v>
      </c>
      <c r="H319" s="12" t="n">
        <v>9</v>
      </c>
      <c r="I319" s="12" t="n">
        <v>5</v>
      </c>
      <c r="J319" s="12" t="n">
        <v>7</v>
      </c>
      <c r="K319" s="12" t="n">
        <v>1</v>
      </c>
      <c r="L319" s="12" t="n">
        <v>1</v>
      </c>
      <c r="M319" s="12" t="n">
        <v>8</v>
      </c>
      <c r="N319" s="12" t="n">
        <v>2</v>
      </c>
      <c r="O319" s="12" t="n">
        <v>5</v>
      </c>
      <c r="P319" s="12" t="n">
        <v>7</v>
      </c>
      <c r="Q319" s="12" t="inlineStr">
        <is>
          <t>2026-03-01</t>
        </is>
      </c>
      <c r="R319" s="12" t="inlineStr">
        <is>
          <t>Misa Esports</t>
        </is>
      </c>
      <c r="S319" s="12" t="inlineStr">
        <is>
          <t>Abyss_Astra,KAY/O,Omen,Sova,Waylay</t>
        </is>
      </c>
    </row>
    <row r="320">
      <c r="A320" s="8" t="inlineStr">
        <is>
          <t>f417419e-9803-485d-9e36-364f26debf15</t>
        </is>
      </c>
      <c r="B320" s="8" t="inlineStr">
        <is>
          <t>Split</t>
        </is>
      </c>
      <c r="C320" s="8" t="inlineStr">
        <is>
          <t>Misa Esports</t>
        </is>
      </c>
      <c r="D320" s="8" t="inlineStr">
        <is>
          <t>S2G</t>
        </is>
      </c>
      <c r="E320" s="8" t="inlineStr">
        <is>
          <t>Breach,Fade,Omen,Viper,Waylay</t>
        </is>
      </c>
      <c r="F320" s="8" t="inlineStr">
        <is>
          <t>Fade,Omen,Viper,Waylay,Yoru</t>
        </is>
      </c>
      <c r="G320" s="8" t="n">
        <v>13</v>
      </c>
      <c r="H320" s="8" t="n">
        <v>5</v>
      </c>
      <c r="I320" s="8" t="n">
        <v>7</v>
      </c>
      <c r="J320" s="8" t="n">
        <v>5</v>
      </c>
      <c r="K320" s="8" t="n">
        <v>1</v>
      </c>
      <c r="L320" s="8" t="n">
        <v>1</v>
      </c>
      <c r="M320" s="8" t="n">
        <v>6</v>
      </c>
      <c r="N320" s="8" t="n">
        <v>0</v>
      </c>
      <c r="O320" s="8" t="n">
        <v>7</v>
      </c>
      <c r="P320" s="8" t="n">
        <v>5</v>
      </c>
      <c r="Q320" s="8" t="inlineStr">
        <is>
          <t>2026-02-28</t>
        </is>
      </c>
      <c r="R320" s="8" t="inlineStr">
        <is>
          <t>Misa Esports</t>
        </is>
      </c>
      <c r="S320" s="8" t="inlineStr">
        <is>
          <t>Split_Breach,Fade,Omen,Viper,Waylay</t>
        </is>
      </c>
    </row>
    <row r="321">
      <c r="A321" s="12" t="inlineStr">
        <is>
          <t>4dbc0f77-61f8-417c-8561-1f6dd34d0333</t>
        </is>
      </c>
      <c r="B321" s="12" t="inlineStr">
        <is>
          <t>Breeze</t>
        </is>
      </c>
      <c r="C321" s="12" t="inlineStr">
        <is>
          <t>Misa Esports</t>
        </is>
      </c>
      <c r="D321" s="12" t="inlineStr">
        <is>
          <t>S2G</t>
        </is>
      </c>
      <c r="E321" s="12" t="inlineStr">
        <is>
          <t>Astra,Neon,Sova,Viper,Yoru</t>
        </is>
      </c>
      <c r="F321" s="12" t="inlineStr">
        <is>
          <t>Neon,Omen,Sova,Viper,Yoru</t>
        </is>
      </c>
      <c r="G321" s="12" t="n">
        <v>13</v>
      </c>
      <c r="H321" s="12" t="n">
        <v>8</v>
      </c>
      <c r="I321" s="12" t="n">
        <v>8</v>
      </c>
      <c r="J321" s="12" t="n">
        <v>4</v>
      </c>
      <c r="K321" s="12" t="n">
        <v>0</v>
      </c>
      <c r="L321" s="12" t="n">
        <v>0</v>
      </c>
      <c r="M321" s="12" t="n">
        <v>5</v>
      </c>
      <c r="N321" s="12" t="n">
        <v>4</v>
      </c>
      <c r="O321" s="12" t="n">
        <v>8</v>
      </c>
      <c r="P321" s="12" t="n">
        <v>4</v>
      </c>
      <c r="Q321" s="12" t="inlineStr">
        <is>
          <t>2026-02-28</t>
        </is>
      </c>
      <c r="R321" s="12" t="inlineStr">
        <is>
          <t>Misa Esports</t>
        </is>
      </c>
      <c r="S321" s="12" t="inlineStr">
        <is>
          <t>Breeze_Astra,Neon,Sova,Viper,Yoru</t>
        </is>
      </c>
    </row>
    <row r="322">
      <c r="A322" s="8" t="inlineStr">
        <is>
          <t>da4c1a9e-6c86-480d-8340-f22bddc50924</t>
        </is>
      </c>
      <c r="B322" s="8" t="inlineStr">
        <is>
          <t>Pearl</t>
        </is>
      </c>
      <c r="C322" s="8" t="inlineStr">
        <is>
          <t>Misa Esports</t>
        </is>
      </c>
      <c r="D322" s="8" t="inlineStr">
        <is>
          <t>BJK</t>
        </is>
      </c>
      <c r="E322" s="8" t="inlineStr">
        <is>
          <t>Astra,Cypher,Fade,Tejo,Yoru</t>
        </is>
      </c>
      <c r="F322" s="8" t="inlineStr">
        <is>
          <t>Astra,Fade,Killjoy,Tejo,Waylay</t>
        </is>
      </c>
      <c r="G322" s="8" t="n">
        <v>11</v>
      </c>
      <c r="H322" s="8" t="n">
        <v>13</v>
      </c>
      <c r="I322" s="8" t="n">
        <v>5</v>
      </c>
      <c r="J322" s="8" t="n">
        <v>7</v>
      </c>
      <c r="K322" s="8" t="n">
        <v>0</v>
      </c>
      <c r="L322" s="8" t="n">
        <v>0</v>
      </c>
      <c r="M322" s="8" t="n">
        <v>6</v>
      </c>
      <c r="N322" s="8" t="n">
        <v>6</v>
      </c>
      <c r="O322" s="8" t="n">
        <v>5</v>
      </c>
      <c r="P322" s="8" t="n">
        <v>7</v>
      </c>
      <c r="Q322" s="8" t="inlineStr">
        <is>
          <t>2026-02-07</t>
        </is>
      </c>
      <c r="R322" s="8" t="inlineStr">
        <is>
          <t>BJK</t>
        </is>
      </c>
      <c r="S322" s="8" t="inlineStr">
        <is>
          <t>Pearl_Astra,Cypher,Fade,Tejo,Yoru</t>
        </is>
      </c>
    </row>
    <row r="323">
      <c r="A323" s="12" t="inlineStr">
        <is>
          <t>746aec80-4a0b-4877-ab59-2fcb13285b71</t>
        </is>
      </c>
      <c r="B323" s="12" t="inlineStr">
        <is>
          <t>Corrode</t>
        </is>
      </c>
      <c r="C323" s="12" t="inlineStr">
        <is>
          <t>Misa Esports</t>
        </is>
      </c>
      <c r="D323" s="12" t="inlineStr">
        <is>
          <t>BJK</t>
        </is>
      </c>
      <c r="E323" s="12" t="inlineStr">
        <is>
          <t>Fade,KAY/O,Omen,Viper,Waylay</t>
        </is>
      </c>
      <c r="F323" s="12" t="inlineStr">
        <is>
          <t>KAY/O,Omen,Sova,Viper,Waylay</t>
        </is>
      </c>
      <c r="G323" s="12" t="n">
        <v>8</v>
      </c>
      <c r="H323" s="12" t="n">
        <v>13</v>
      </c>
      <c r="I323" s="12" t="n">
        <v>3</v>
      </c>
      <c r="J323" s="12" t="n">
        <v>9</v>
      </c>
      <c r="K323" s="12" t="n">
        <v>1</v>
      </c>
      <c r="L323" s="12" t="n">
        <v>0</v>
      </c>
      <c r="M323" s="12" t="n">
        <v>5</v>
      </c>
      <c r="N323" s="12" t="n">
        <v>4</v>
      </c>
      <c r="O323" s="12" t="n">
        <v>3</v>
      </c>
      <c r="P323" s="12" t="n">
        <v>9</v>
      </c>
      <c r="Q323" s="12" t="inlineStr">
        <is>
          <t>2026-02-07</t>
        </is>
      </c>
      <c r="R323" s="12" t="inlineStr">
        <is>
          <t>BJK</t>
        </is>
      </c>
      <c r="S323" s="12" t="inlineStr">
        <is>
          <t>Corrode_Fade,KAY/O,Omen,Viper,Waylay</t>
        </is>
      </c>
    </row>
    <row r="324">
      <c r="A324" s="8" t="inlineStr">
        <is>
          <t>d1e2458c-3e8f-4dd2-a973-f13e2bebd0a7</t>
        </is>
      </c>
      <c r="B324" s="8" t="inlineStr">
        <is>
          <t>Haven</t>
        </is>
      </c>
      <c r="C324" s="8" t="inlineStr">
        <is>
          <t>Misa Esports</t>
        </is>
      </c>
      <c r="D324" s="8" t="inlineStr">
        <is>
          <t>BW</t>
        </is>
      </c>
      <c r="E324" s="8" t="inlineStr">
        <is>
          <t>Cypher,Neon,Omen,Sova,Yoru</t>
        </is>
      </c>
      <c r="F324" s="8" t="inlineStr">
        <is>
          <t>Killjoy,Omen,Sova,Viper,Yoru</t>
        </is>
      </c>
      <c r="G324" s="8" t="n">
        <v>13</v>
      </c>
      <c r="H324" s="8" t="n">
        <v>7</v>
      </c>
      <c r="I324" s="8" t="n">
        <v>5</v>
      </c>
      <c r="J324" s="8" t="n">
        <v>7</v>
      </c>
      <c r="K324" s="8" t="n">
        <v>1</v>
      </c>
      <c r="L324" s="8" t="n">
        <v>1</v>
      </c>
      <c r="M324" s="8" t="n">
        <v>8</v>
      </c>
      <c r="N324" s="8" t="n">
        <v>0</v>
      </c>
      <c r="O324" s="8" t="n">
        <v>5</v>
      </c>
      <c r="P324" s="8" t="n">
        <v>7</v>
      </c>
      <c r="Q324" s="8" t="inlineStr">
        <is>
          <t>2026-02-01</t>
        </is>
      </c>
      <c r="R324" s="8" t="inlineStr">
        <is>
          <t>Misa Esports</t>
        </is>
      </c>
      <c r="S324" s="8" t="inlineStr">
        <is>
          <t>Haven_Cypher,Neon,Omen,Sova,Yoru</t>
        </is>
      </c>
    </row>
    <row r="325">
      <c r="A325" s="12" t="inlineStr">
        <is>
          <t>e3790909-9a78-4a8a-b225-2a92cd5cc3b7</t>
        </is>
      </c>
      <c r="B325" s="12" t="inlineStr">
        <is>
          <t>Corrode</t>
        </is>
      </c>
      <c r="C325" s="12" t="inlineStr">
        <is>
          <t>Misa Esports</t>
        </is>
      </c>
      <c r="D325" s="12" t="inlineStr">
        <is>
          <t>BW</t>
        </is>
      </c>
      <c r="E325" s="12" t="inlineStr">
        <is>
          <t>Fade,KAY/O,Omen,Viper,Waylay</t>
        </is>
      </c>
      <c r="F325" s="12" t="inlineStr">
        <is>
          <t>Fade,Omen,Viper,Vyse,Waylay</t>
        </is>
      </c>
      <c r="G325" s="12" t="n">
        <v>13</v>
      </c>
      <c r="H325" s="12" t="n">
        <v>6</v>
      </c>
      <c r="I325" s="12" t="n">
        <v>7</v>
      </c>
      <c r="J325" s="12" t="n">
        <v>5</v>
      </c>
      <c r="K325" s="12" t="n">
        <v>1</v>
      </c>
      <c r="L325" s="12" t="n">
        <v>0</v>
      </c>
      <c r="M325" s="12" t="n">
        <v>6</v>
      </c>
      <c r="N325" s="12" t="n">
        <v>1</v>
      </c>
      <c r="O325" s="12" t="n">
        <v>7</v>
      </c>
      <c r="P325" s="12" t="n">
        <v>5</v>
      </c>
      <c r="Q325" s="12" t="inlineStr">
        <is>
          <t>2026-02-01</t>
        </is>
      </c>
      <c r="R325" s="12" t="inlineStr">
        <is>
          <t>Misa Esports</t>
        </is>
      </c>
      <c r="S325" s="12" t="inlineStr">
        <is>
          <t>Corrode_Fade,KAY/O,Omen,Viper,Waylay</t>
        </is>
      </c>
    </row>
    <row r="326">
      <c r="A326" s="8" t="inlineStr">
        <is>
          <t>0bf17bae-fa0c-4ef2-96c3-e8450289bf22</t>
        </is>
      </c>
      <c r="B326" s="8" t="inlineStr">
        <is>
          <t>Haven</t>
        </is>
      </c>
      <c r="C326" s="8" t="inlineStr">
        <is>
          <t>Misa Esports</t>
        </is>
      </c>
      <c r="D326" s="8" t="inlineStr">
        <is>
          <t>S2G</t>
        </is>
      </c>
      <c r="E326" s="8" t="inlineStr">
        <is>
          <t>Cypher,Neon,Omen,Sova,Yoru</t>
        </is>
      </c>
      <c r="F326" s="8" t="inlineStr">
        <is>
          <t>Cypher,Neon,Omen,Sova,Yoru</t>
        </is>
      </c>
      <c r="G326" s="8" t="n">
        <v>13</v>
      </c>
      <c r="H326" s="8" t="n">
        <v>10</v>
      </c>
      <c r="I326" s="8" t="n">
        <v>4</v>
      </c>
      <c r="J326" s="8" t="n">
        <v>8</v>
      </c>
      <c r="K326" s="8" t="n">
        <v>1</v>
      </c>
      <c r="L326" s="8" t="n">
        <v>0</v>
      </c>
      <c r="M326" s="8" t="n">
        <v>9</v>
      </c>
      <c r="N326" s="8" t="n">
        <v>2</v>
      </c>
      <c r="O326" s="8" t="n">
        <v>4</v>
      </c>
      <c r="P326" s="8" t="n">
        <v>8</v>
      </c>
      <c r="Q326" s="8" t="inlineStr">
        <is>
          <t>2026-01-26</t>
        </is>
      </c>
      <c r="R326" s="8" t="inlineStr">
        <is>
          <t>Misa Esports</t>
        </is>
      </c>
      <c r="S326" s="8" t="inlineStr">
        <is>
          <t>Haven_Cypher,Neon,Omen,Sova,Yoru</t>
        </is>
      </c>
    </row>
    <row r="327">
      <c r="A327" s="12" t="inlineStr">
        <is>
          <t>883332c5-0d34-4cf9-a8df-21c064ffe853</t>
        </is>
      </c>
      <c r="B327" s="12" t="inlineStr">
        <is>
          <t>Pearl</t>
        </is>
      </c>
      <c r="C327" s="12" t="inlineStr">
        <is>
          <t>Misa Esports</t>
        </is>
      </c>
      <c r="D327" s="12" t="inlineStr">
        <is>
          <t>S2G</t>
        </is>
      </c>
      <c r="E327" s="12" t="inlineStr">
        <is>
          <t>Astra,Cypher,Fade,Tejo,Yoru</t>
        </is>
      </c>
      <c r="F327" s="12" t="inlineStr">
        <is>
          <t>Astra,Fade,Killjoy,Neon,Yoru</t>
        </is>
      </c>
      <c r="G327" s="12" t="n">
        <v>13</v>
      </c>
      <c r="H327" s="12" t="n">
        <v>11</v>
      </c>
      <c r="I327" s="12" t="n">
        <v>9</v>
      </c>
      <c r="J327" s="12" t="n">
        <v>3</v>
      </c>
      <c r="K327" s="12" t="n">
        <v>0</v>
      </c>
      <c r="L327" s="12" t="n">
        <v>1</v>
      </c>
      <c r="M327" s="12" t="n">
        <v>4</v>
      </c>
      <c r="N327" s="12" t="n">
        <v>8</v>
      </c>
      <c r="O327" s="12" t="n">
        <v>9</v>
      </c>
      <c r="P327" s="12" t="n">
        <v>3</v>
      </c>
      <c r="Q327" s="12" t="inlineStr">
        <is>
          <t>2026-01-26</t>
        </is>
      </c>
      <c r="R327" s="12" t="inlineStr">
        <is>
          <t>Misa Esports</t>
        </is>
      </c>
      <c r="S327" s="12" t="inlineStr">
        <is>
          <t>Pearl_Astra,Cypher,Fade,Tejo,Yoru</t>
        </is>
      </c>
    </row>
    <row r="328">
      <c r="A328" s="8" t="inlineStr">
        <is>
          <t>bb17e806-2281-4062-8a6d-8011c027e1c4</t>
        </is>
      </c>
      <c r="B328" s="8" t="inlineStr">
        <is>
          <t>Bind</t>
        </is>
      </c>
      <c r="C328" s="8" t="inlineStr">
        <is>
          <t>Misa Esports</t>
        </is>
      </c>
      <c r="D328" s="8" t="inlineStr">
        <is>
          <t>FA</t>
        </is>
      </c>
      <c r="E328" s="8" t="inlineStr">
        <is>
          <t>Breach,Brimstone,Raze,Tejo,Viper</t>
        </is>
      </c>
      <c r="F328" s="8" t="inlineStr">
        <is>
          <t>Gekko,Omen,Skye,Viper,Waylay</t>
        </is>
      </c>
      <c r="G328" s="8" t="n">
        <v>13</v>
      </c>
      <c r="H328" s="8" t="n">
        <v>6</v>
      </c>
      <c r="I328" s="8" t="n">
        <v>7</v>
      </c>
      <c r="J328" s="8" t="n">
        <v>5</v>
      </c>
      <c r="K328" s="8" t="n">
        <v>1</v>
      </c>
      <c r="L328" s="8" t="n">
        <v>1</v>
      </c>
      <c r="M328" s="8" t="n">
        <v>6</v>
      </c>
      <c r="N328" s="8" t="n">
        <v>1</v>
      </c>
      <c r="O328" s="8" t="n">
        <v>7</v>
      </c>
      <c r="P328" s="8" t="n">
        <v>5</v>
      </c>
      <c r="Q328" s="8" t="inlineStr">
        <is>
          <t>2026-01-24</t>
        </is>
      </c>
      <c r="R328" s="8" t="inlineStr">
        <is>
          <t>Misa Esports</t>
        </is>
      </c>
      <c r="S328" s="8" t="inlineStr">
        <is>
          <t>Bind_Breach,Brimstone,Raze,Tejo,Viper</t>
        </is>
      </c>
    </row>
    <row r="329">
      <c r="A329" s="12" t="inlineStr">
        <is>
          <t>8f731214-8702-49f2-ac84-5a8a018dbf2a</t>
        </is>
      </c>
      <c r="B329" s="12" t="inlineStr">
        <is>
          <t>Haven</t>
        </is>
      </c>
      <c r="C329" s="12" t="inlineStr">
        <is>
          <t>Misa Esports</t>
        </is>
      </c>
      <c r="D329" s="12" t="inlineStr">
        <is>
          <t>FA</t>
        </is>
      </c>
      <c r="E329" s="12" t="inlineStr">
        <is>
          <t>Cypher,Neon,Omen,Sova,Yoru</t>
        </is>
      </c>
      <c r="F329" s="12" t="inlineStr">
        <is>
          <t>Killjoy,Neon,Omen,Sova,Viper</t>
        </is>
      </c>
      <c r="G329" s="12" t="n">
        <v>14</v>
      </c>
      <c r="H329" s="12" t="n">
        <v>12</v>
      </c>
      <c r="I329" s="12" t="n">
        <v>5</v>
      </c>
      <c r="J329" s="12" t="n">
        <v>7</v>
      </c>
      <c r="K329" s="12" t="n">
        <v>1</v>
      </c>
      <c r="L329" s="12" t="n">
        <v>0</v>
      </c>
      <c r="M329" s="12" t="n">
        <v>8</v>
      </c>
      <c r="N329" s="12" t="n">
        <v>5</v>
      </c>
      <c r="O329" s="12" t="n">
        <v>6</v>
      </c>
      <c r="P329" s="12" t="n">
        <v>7</v>
      </c>
      <c r="Q329" s="12" t="inlineStr">
        <is>
          <t>2026-01-24</t>
        </is>
      </c>
      <c r="R329" s="12" t="inlineStr">
        <is>
          <t>Misa Esports</t>
        </is>
      </c>
      <c r="S329" s="12" t="inlineStr">
        <is>
          <t>Haven_Cypher,Neon,Omen,Sova,Yoru</t>
        </is>
      </c>
    </row>
    <row r="330">
      <c r="A330" s="8" t="inlineStr">
        <is>
          <t>f5011adf-7ff4-4b50-8b9b-a55138928806</t>
        </is>
      </c>
      <c r="B330" s="8" t="inlineStr">
        <is>
          <t>Corrode</t>
        </is>
      </c>
      <c r="C330" s="8" t="inlineStr">
        <is>
          <t>Misa Esports</t>
        </is>
      </c>
      <c r="D330" s="8" t="inlineStr">
        <is>
          <t>GS</t>
        </is>
      </c>
      <c r="E330" s="8" t="inlineStr">
        <is>
          <t>Fade,KAY/O,Omen,Viper,Waylay</t>
        </is>
      </c>
      <c r="F330" s="8" t="inlineStr">
        <is>
          <t>Fade,Neon,Omen,Sage,Viper</t>
        </is>
      </c>
      <c r="G330" s="8" t="n">
        <v>13</v>
      </c>
      <c r="H330" s="8" t="n">
        <v>7</v>
      </c>
      <c r="I330" s="8" t="n">
        <v>6</v>
      </c>
      <c r="J330" s="8" t="n">
        <v>6</v>
      </c>
      <c r="K330" s="8" t="n">
        <v>0</v>
      </c>
      <c r="L330" s="8" t="n">
        <v>1</v>
      </c>
      <c r="M330" s="8" t="n">
        <v>6</v>
      </c>
      <c r="N330" s="8" t="n">
        <v>6</v>
      </c>
      <c r="O330" s="8" t="n">
        <v>7</v>
      </c>
      <c r="P330" s="8" t="n">
        <v>1</v>
      </c>
      <c r="Q330" s="8" t="inlineStr">
        <is>
          <t>2026-01-19</t>
        </is>
      </c>
      <c r="R330" s="8" t="inlineStr">
        <is>
          <t>Misa Esports</t>
        </is>
      </c>
      <c r="S330" s="8" t="inlineStr">
        <is>
          <t>Corrode_Fade,KAY/O,Omen,Viper,Waylay</t>
        </is>
      </c>
    </row>
    <row r="331">
      <c r="A331" s="12" t="inlineStr">
        <is>
          <t>9c1599d5-6df5-4298-9ea8-2680d1301c3d</t>
        </is>
      </c>
      <c r="B331" s="12" t="inlineStr">
        <is>
          <t>Haven</t>
        </is>
      </c>
      <c r="C331" s="12" t="inlineStr">
        <is>
          <t>Misa Esports</t>
        </is>
      </c>
      <c r="D331" s="12" t="inlineStr">
        <is>
          <t>GS</t>
        </is>
      </c>
      <c r="E331" s="12" t="inlineStr">
        <is>
          <t>Cypher,Neon,Omen,Sova,Yoru</t>
        </is>
      </c>
      <c r="F331" s="12" t="inlineStr">
        <is>
          <t>Breach,Cypher,Neon,Omen,Sova</t>
        </is>
      </c>
      <c r="G331" s="12" t="n">
        <v>14</v>
      </c>
      <c r="H331" s="12" t="n">
        <v>12</v>
      </c>
      <c r="I331" s="12" t="n">
        <v>5</v>
      </c>
      <c r="J331" s="12" t="n">
        <v>7</v>
      </c>
      <c r="K331" s="12" t="n">
        <v>0</v>
      </c>
      <c r="L331" s="12" t="n">
        <v>1</v>
      </c>
      <c r="M331" s="12" t="n">
        <v>6</v>
      </c>
      <c r="N331" s="12" t="n">
        <v>7</v>
      </c>
      <c r="O331" s="12" t="n">
        <v>8</v>
      </c>
      <c r="P331" s="12" t="n">
        <v>5</v>
      </c>
      <c r="Q331" s="12" t="inlineStr">
        <is>
          <t>2026-01-19</t>
        </is>
      </c>
      <c r="R331" s="12" t="inlineStr">
        <is>
          <t>Misa Esports</t>
        </is>
      </c>
      <c r="S331" s="12" t="inlineStr">
        <is>
          <t>Haven_Cypher,Neon,Omen,Sova,Yoru</t>
        </is>
      </c>
    </row>
    <row r="332">
      <c r="A332" s="8" t="inlineStr">
        <is>
          <t>1b885050-618c-48d8-9621-1a0f0260a8a8</t>
        </is>
      </c>
      <c r="B332" s="8" t="inlineStr">
        <is>
          <t>Split</t>
        </is>
      </c>
      <c r="C332" s="8" t="inlineStr">
        <is>
          <t>Misa Esports</t>
        </is>
      </c>
      <c r="D332" s="8" t="inlineStr">
        <is>
          <t>GS</t>
        </is>
      </c>
      <c r="E332" s="8" t="inlineStr">
        <is>
          <t>Breach,Fade,Omen,Viper,Waylay</t>
        </is>
      </c>
      <c r="F332" s="8" t="inlineStr">
        <is>
          <t>Breach,Deadlock,Omen,Raze,Sage</t>
        </is>
      </c>
      <c r="G332" s="8" t="n">
        <v>10</v>
      </c>
      <c r="H332" s="8" t="n">
        <v>13</v>
      </c>
      <c r="I332" s="8" t="n">
        <v>6</v>
      </c>
      <c r="J332" s="8" t="n">
        <v>6</v>
      </c>
      <c r="K332" s="8" t="n">
        <v>1</v>
      </c>
      <c r="L332" s="8" t="n">
        <v>1</v>
      </c>
      <c r="M332" s="8" t="n">
        <v>4</v>
      </c>
      <c r="N332" s="8" t="n">
        <v>7</v>
      </c>
      <c r="O332" s="8" t="n">
        <v>6</v>
      </c>
      <c r="P332" s="8" t="n">
        <v>6</v>
      </c>
      <c r="Q332" s="8" t="inlineStr">
        <is>
          <t>2026-01-19</t>
        </is>
      </c>
      <c r="R332" s="8" t="inlineStr">
        <is>
          <t>GS</t>
        </is>
      </c>
      <c r="S332" s="8" t="inlineStr">
        <is>
          <t>Split_Breach,Fade,Omen,Viper,Waylay</t>
        </is>
      </c>
    </row>
    <row r="333">
      <c r="A333" s="12" t="inlineStr">
        <is>
          <t>8d586f69-945c-43dc-a984-4296e18a4062</t>
        </is>
      </c>
      <c r="B333" s="12" t="inlineStr">
        <is>
          <t>Haven</t>
        </is>
      </c>
      <c r="C333" s="12" t="inlineStr">
        <is>
          <t>Misa Esports</t>
        </is>
      </c>
      <c r="D333" s="12" t="inlineStr">
        <is>
          <t>EF</t>
        </is>
      </c>
      <c r="E333" s="12" t="inlineStr">
        <is>
          <t>Cypher,Neon,Omen,Sova,Yoru</t>
        </is>
      </c>
      <c r="F333" s="12" t="inlineStr">
        <is>
          <t>Killjoy,Neon,Omen,Sova,Viper</t>
        </is>
      </c>
      <c r="G333" s="12" t="n">
        <v>13</v>
      </c>
      <c r="H333" s="12" t="n">
        <v>9</v>
      </c>
      <c r="I333" s="12" t="n">
        <v>6</v>
      </c>
      <c r="J333" s="12" t="n">
        <v>6</v>
      </c>
      <c r="K333" s="12" t="n">
        <v>1</v>
      </c>
      <c r="L333" s="12" t="n">
        <v>0</v>
      </c>
      <c r="M333" s="12" t="n">
        <v>6</v>
      </c>
      <c r="N333" s="12" t="n">
        <v>6</v>
      </c>
      <c r="O333" s="12" t="n">
        <v>7</v>
      </c>
      <c r="P333" s="12" t="n">
        <v>3</v>
      </c>
      <c r="Q333" s="12" t="inlineStr">
        <is>
          <t>2026-01-17</t>
        </is>
      </c>
      <c r="R333" s="12" t="inlineStr">
        <is>
          <t>Misa Esports</t>
        </is>
      </c>
      <c r="S333" s="12" t="inlineStr">
        <is>
          <t>Haven_Cypher,Neon,Omen,Sova,Yoru</t>
        </is>
      </c>
    </row>
    <row r="334">
      <c r="A334" s="8" t="inlineStr">
        <is>
          <t>e1707685-d2c7-4da0-b8f2-57a3670043aa</t>
        </is>
      </c>
      <c r="B334" s="8" t="inlineStr">
        <is>
          <t>Abyss</t>
        </is>
      </c>
      <c r="C334" s="8" t="inlineStr">
        <is>
          <t>Misa Esports</t>
        </is>
      </c>
      <c r="D334" s="8" t="inlineStr">
        <is>
          <t>EF</t>
        </is>
      </c>
      <c r="E334" s="8" t="inlineStr">
        <is>
          <t>Astra,KAY/O,Omen,Sova,Waylay</t>
        </is>
      </c>
      <c r="F334" s="8" t="inlineStr">
        <is>
          <t>Astra,Cypher,Jett,KAY/O,Sova</t>
        </is>
      </c>
      <c r="G334" s="8" t="n">
        <v>13</v>
      </c>
      <c r="H334" s="8" t="n">
        <v>7</v>
      </c>
      <c r="I334" s="8" t="n">
        <v>8</v>
      </c>
      <c r="J334" s="8" t="n">
        <v>4</v>
      </c>
      <c r="K334" s="8" t="n">
        <v>1</v>
      </c>
      <c r="L334" s="8" t="n">
        <v>0</v>
      </c>
      <c r="M334" s="8" t="n">
        <v>5</v>
      </c>
      <c r="N334" s="8" t="n">
        <v>3</v>
      </c>
      <c r="O334" s="8" t="n">
        <v>8</v>
      </c>
      <c r="P334" s="8" t="n">
        <v>4</v>
      </c>
      <c r="Q334" s="8" t="inlineStr">
        <is>
          <t>2026-01-17</t>
        </is>
      </c>
      <c r="R334" s="8" t="inlineStr">
        <is>
          <t>Misa Esports</t>
        </is>
      </c>
      <c r="S334" s="8" t="inlineStr">
        <is>
          <t>Abyss_Astra,KAY/O,Omen,Sova,Waylay</t>
        </is>
      </c>
    </row>
    <row r="335">
      <c r="A335" s="12" t="inlineStr">
        <is>
          <t>94952dc8-2269-4cd3-9164-953007d5586e</t>
        </is>
      </c>
      <c r="B335" s="12" t="inlineStr">
        <is>
          <t>Split</t>
        </is>
      </c>
      <c r="C335" s="12" t="inlineStr">
        <is>
          <t>Misa Esports</t>
        </is>
      </c>
      <c r="D335" s="12" t="inlineStr">
        <is>
          <t>FF</t>
        </is>
      </c>
      <c r="E335" s="12" t="inlineStr">
        <is>
          <t>Breach,Fade,Omen,Viper,Waylay</t>
        </is>
      </c>
      <c r="F335" s="12" t="inlineStr">
        <is>
          <t>Breach,Fade,Omen,Viper,Waylay</t>
        </is>
      </c>
      <c r="G335" s="12" t="n">
        <v>2</v>
      </c>
      <c r="H335" s="12" t="n">
        <v>13</v>
      </c>
      <c r="I335" s="12" t="n">
        <v>0</v>
      </c>
      <c r="J335" s="12" t="n">
        <v>12</v>
      </c>
      <c r="K335" s="12" t="n">
        <v>1</v>
      </c>
      <c r="L335" s="12" t="n">
        <v>0</v>
      </c>
      <c r="M335" s="12" t="n">
        <v>2</v>
      </c>
      <c r="N335" s="12" t="n">
        <v>1</v>
      </c>
      <c r="O335" s="12" t="n">
        <v>0</v>
      </c>
      <c r="P335" s="12" t="n">
        <v>12</v>
      </c>
      <c r="Q335" s="12" t="inlineStr">
        <is>
          <t>2026-01-11</t>
        </is>
      </c>
      <c r="R335" s="12" t="inlineStr">
        <is>
          <t>FF</t>
        </is>
      </c>
      <c r="S335" s="12" t="inlineStr">
        <is>
          <t>Split_Breach,Fade,Omen,Viper,Waylay</t>
        </is>
      </c>
    </row>
    <row r="336">
      <c r="A336" s="8" t="inlineStr">
        <is>
          <t>5e9b00b5-dd16-4032-bfde-959284bc4a2a</t>
        </is>
      </c>
      <c r="B336" s="8" t="inlineStr">
        <is>
          <t>Abyss</t>
        </is>
      </c>
      <c r="C336" s="8" t="inlineStr">
        <is>
          <t>Misa Esports</t>
        </is>
      </c>
      <c r="D336" s="8" t="inlineStr">
        <is>
          <t>FF</t>
        </is>
      </c>
      <c r="E336" s="8" t="inlineStr">
        <is>
          <t>Astra,KAY/O,Omen,Sova,Waylay</t>
        </is>
      </c>
      <c r="F336" s="8" t="inlineStr">
        <is>
          <t>Astra,Breach,Sova,Waylay,Yoru</t>
        </is>
      </c>
      <c r="G336" s="8" t="n">
        <v>13</v>
      </c>
      <c r="H336" s="8" t="n">
        <v>5</v>
      </c>
      <c r="I336" s="8" t="n">
        <v>7</v>
      </c>
      <c r="J336" s="8" t="n">
        <v>5</v>
      </c>
      <c r="K336" s="8" t="n">
        <v>1</v>
      </c>
      <c r="L336" s="8" t="n">
        <v>1</v>
      </c>
      <c r="M336" s="8" t="n">
        <v>6</v>
      </c>
      <c r="N336" s="8" t="n">
        <v>0</v>
      </c>
      <c r="O336" s="8" t="n">
        <v>7</v>
      </c>
      <c r="P336" s="8" t="n">
        <v>5</v>
      </c>
      <c r="Q336" s="8" t="inlineStr">
        <is>
          <t>2026-01-11</t>
        </is>
      </c>
      <c r="R336" s="8" t="inlineStr">
        <is>
          <t>Misa Esports</t>
        </is>
      </c>
      <c r="S336" s="8" t="inlineStr">
        <is>
          <t>Abyss_Astra,KAY/O,Omen,Sova,Waylay</t>
        </is>
      </c>
    </row>
    <row r="337">
      <c r="A337" s="12" t="inlineStr">
        <is>
          <t>b0feeb4e-eccb-4356-8f50-9fbe7798bb2a</t>
        </is>
      </c>
      <c r="B337" s="12" t="inlineStr">
        <is>
          <t>Corrode</t>
        </is>
      </c>
      <c r="C337" s="12" t="inlineStr">
        <is>
          <t>Misa Esports</t>
        </is>
      </c>
      <c r="D337" s="12" t="inlineStr">
        <is>
          <t>FF</t>
        </is>
      </c>
      <c r="E337" s="12" t="inlineStr">
        <is>
          <t>Fade,KAY/O,Omen,Viper,Waylay</t>
        </is>
      </c>
      <c r="F337" s="12" t="inlineStr">
        <is>
          <t>KAY/O,Omen,Sova,Viper,Waylay</t>
        </is>
      </c>
      <c r="G337" s="12" t="n">
        <v>0</v>
      </c>
      <c r="H337" s="12" t="n">
        <v>13</v>
      </c>
      <c r="I337" s="12" t="n">
        <v>0</v>
      </c>
      <c r="J337" s="12" t="n">
        <v>12</v>
      </c>
      <c r="K337" s="12" t="n">
        <v>0</v>
      </c>
      <c r="L337" s="12" t="n">
        <v>0</v>
      </c>
      <c r="M337" s="12" t="n">
        <v>0</v>
      </c>
      <c r="N337" s="12" t="n">
        <v>12</v>
      </c>
      <c r="O337" s="12" t="n">
        <v>0</v>
      </c>
      <c r="P337" s="12" t="n">
        <v>1</v>
      </c>
      <c r="Q337" s="12" t="inlineStr">
        <is>
          <t>2026-01-11</t>
        </is>
      </c>
      <c r="R337" s="12" t="inlineStr">
        <is>
          <t>FF</t>
        </is>
      </c>
      <c r="S337" s="12" t="inlineStr">
        <is>
          <t>Corrode_Fade,KAY/O,Omen,Viper,Waylay</t>
        </is>
      </c>
    </row>
    <row r="338">
      <c r="A338" s="8" t="inlineStr">
        <is>
          <t>5bdb43aa-e42e-4c6b-82c6-af33bf93046e</t>
        </is>
      </c>
      <c r="B338" s="8" t="inlineStr">
        <is>
          <t>Breeze</t>
        </is>
      </c>
      <c r="C338" s="8" t="inlineStr">
        <is>
          <t>S2G Esports</t>
        </is>
      </c>
      <c r="D338" s="8" t="inlineStr">
        <is>
          <t>MISA</t>
        </is>
      </c>
      <c r="E338" s="8" t="inlineStr">
        <is>
          <t>Astra,Neon,Sova,Viper,Yoru</t>
        </is>
      </c>
      <c r="F338" s="8" t="inlineStr">
        <is>
          <t>Astra,Neon,Sova,Viper,Yoru</t>
        </is>
      </c>
      <c r="G338" s="8" t="n">
        <v>5</v>
      </c>
      <c r="H338" s="8" t="n">
        <v>13</v>
      </c>
      <c r="I338" s="8" t="n">
        <v>5</v>
      </c>
      <c r="J338" s="8" t="n">
        <v>7</v>
      </c>
      <c r="K338" s="8" t="n">
        <v>1</v>
      </c>
      <c r="L338" s="8" t="n">
        <v>0</v>
      </c>
      <c r="M338" s="8" t="n">
        <v>5</v>
      </c>
      <c r="N338" s="8" t="n">
        <v>7</v>
      </c>
      <c r="O338" s="8" t="n">
        <v>0</v>
      </c>
      <c r="P338" s="8" t="n">
        <v>6</v>
      </c>
      <c r="Q338" s="8" t="inlineStr">
        <is>
          <t>2026-03-08</t>
        </is>
      </c>
      <c r="R338" s="8" t="inlineStr">
        <is>
          <t>MISA</t>
        </is>
      </c>
      <c r="S338" s="8" t="inlineStr">
        <is>
          <t>Breeze_Astra,Neon,Sova,Viper,Yoru</t>
        </is>
      </c>
    </row>
    <row r="339">
      <c r="A339" s="12" t="inlineStr">
        <is>
          <t>46d247f5-f9e1-47e1-a319-c6650a757a1e</t>
        </is>
      </c>
      <c r="B339" s="12" t="inlineStr">
        <is>
          <t>Haven</t>
        </is>
      </c>
      <c r="C339" s="12" t="inlineStr">
        <is>
          <t>S2G Esports</t>
        </is>
      </c>
      <c r="D339" s="12" t="inlineStr">
        <is>
          <t>MISA</t>
        </is>
      </c>
      <c r="E339" s="12" t="inlineStr">
        <is>
          <t>Astra,Cypher,Neon,Sova,Yoru</t>
        </is>
      </c>
      <c r="F339" s="12" t="inlineStr">
        <is>
          <t>Cypher,Neon,Omen,Sova,Yoru</t>
        </is>
      </c>
      <c r="G339" s="12" t="n">
        <v>8</v>
      </c>
      <c r="H339" s="12" t="n">
        <v>13</v>
      </c>
      <c r="I339" s="12" t="n">
        <v>2</v>
      </c>
      <c r="J339" s="12" t="n">
        <v>10</v>
      </c>
      <c r="K339" s="12" t="n">
        <v>1</v>
      </c>
      <c r="L339" s="12" t="n">
        <v>0</v>
      </c>
      <c r="M339" s="12" t="n">
        <v>6</v>
      </c>
      <c r="N339" s="12" t="n">
        <v>3</v>
      </c>
      <c r="O339" s="12" t="n">
        <v>2</v>
      </c>
      <c r="P339" s="12" t="n">
        <v>10</v>
      </c>
      <c r="Q339" s="12" t="inlineStr">
        <is>
          <t>2026-03-08</t>
        </is>
      </c>
      <c r="R339" s="12" t="inlineStr">
        <is>
          <t>MISA</t>
        </is>
      </c>
      <c r="S339" s="12" t="inlineStr">
        <is>
          <t>Haven_Astra,Cypher,Neon,Sova,Yoru</t>
        </is>
      </c>
    </row>
    <row r="340">
      <c r="A340" s="8" t="inlineStr">
        <is>
          <t>0d8633cc-9e8c-4a20-bea1-dd07d5a365da</t>
        </is>
      </c>
      <c r="B340" s="8" t="inlineStr">
        <is>
          <t>Pearl</t>
        </is>
      </c>
      <c r="C340" s="8" t="inlineStr">
        <is>
          <t>S2G Esports</t>
        </is>
      </c>
      <c r="D340" s="8" t="inlineStr">
        <is>
          <t>MISA</t>
        </is>
      </c>
      <c r="E340" s="8" t="inlineStr">
        <is>
          <t>Astra,Cypher,Neon,Sova,Yoru</t>
        </is>
      </c>
      <c r="F340" s="8" t="inlineStr">
        <is>
          <t>Astra,KAY/O,Killjoy,Tejo,Waylay</t>
        </is>
      </c>
      <c r="G340" s="8" t="n">
        <v>6</v>
      </c>
      <c r="H340" s="8" t="n">
        <v>13</v>
      </c>
      <c r="I340" s="8" t="n">
        <v>4</v>
      </c>
      <c r="J340" s="8" t="n">
        <v>8</v>
      </c>
      <c r="K340" s="8" t="n">
        <v>0</v>
      </c>
      <c r="L340" s="8" t="n">
        <v>1</v>
      </c>
      <c r="M340" s="8" t="n">
        <v>4</v>
      </c>
      <c r="N340" s="8" t="n">
        <v>8</v>
      </c>
      <c r="O340" s="8" t="n">
        <v>2</v>
      </c>
      <c r="P340" s="8" t="n">
        <v>5</v>
      </c>
      <c r="Q340" s="8" t="inlineStr">
        <is>
          <t>2026-03-08</t>
        </is>
      </c>
      <c r="R340" s="8" t="inlineStr">
        <is>
          <t>MISA</t>
        </is>
      </c>
      <c r="S340" s="8" t="inlineStr">
        <is>
          <t>Pearl_Astra,Cypher,Neon,Sova,Yoru</t>
        </is>
      </c>
    </row>
    <row r="341">
      <c r="A341" s="12" t="inlineStr">
        <is>
          <t>6e60bc55-1ccd-4a49-990d-3d480a028ab3</t>
        </is>
      </c>
      <c r="B341" s="12" t="inlineStr">
        <is>
          <t>Split</t>
        </is>
      </c>
      <c r="C341" s="12" t="inlineStr">
        <is>
          <t>S2G Esports</t>
        </is>
      </c>
      <c r="D341" s="12" t="inlineStr">
        <is>
          <t>MISA</t>
        </is>
      </c>
      <c r="E341" s="12" t="inlineStr">
        <is>
          <t>Astra,Neon,Omen,Waylay,Yoru</t>
        </is>
      </c>
      <c r="F341" s="12" t="inlineStr">
        <is>
          <t>Breach,Fade,Omen,Viper,Waylay</t>
        </is>
      </c>
      <c r="G341" s="12" t="n">
        <v>13</v>
      </c>
      <c r="H341" s="12" t="n">
        <v>10</v>
      </c>
      <c r="I341" s="12" t="n">
        <v>8</v>
      </c>
      <c r="J341" s="12" t="n">
        <v>4</v>
      </c>
      <c r="K341" s="12" t="n">
        <v>0</v>
      </c>
      <c r="L341" s="12" t="n">
        <v>1</v>
      </c>
      <c r="M341" s="12" t="n">
        <v>8</v>
      </c>
      <c r="N341" s="12" t="n">
        <v>4</v>
      </c>
      <c r="O341" s="12" t="n">
        <v>5</v>
      </c>
      <c r="P341" s="12" t="n">
        <v>6</v>
      </c>
      <c r="Q341" s="12" t="inlineStr">
        <is>
          <t>2026-03-08</t>
        </is>
      </c>
      <c r="R341" s="12" t="inlineStr">
        <is>
          <t>S2G Esports</t>
        </is>
      </c>
      <c r="S341" s="12" t="inlineStr">
        <is>
          <t>Split_Astra,Neon,Omen,Waylay,Yoru</t>
        </is>
      </c>
    </row>
    <row r="342">
      <c r="A342" s="8" t="inlineStr">
        <is>
          <t>a5dad80a-57f7-4f1f-95b8-40222851f301</t>
        </is>
      </c>
      <c r="B342" s="8" t="inlineStr">
        <is>
          <t>Pearl</t>
        </is>
      </c>
      <c r="C342" s="8" t="inlineStr">
        <is>
          <t>S2G Esports</t>
        </is>
      </c>
      <c r="D342" s="8" t="inlineStr">
        <is>
          <t>BJK</t>
        </is>
      </c>
      <c r="E342" s="8" t="inlineStr">
        <is>
          <t>Astra,Neon,Sova,Veto,Yoru</t>
        </is>
      </c>
      <c r="F342" s="8" t="inlineStr">
        <is>
          <t>Astra,Fade,Killjoy,Tejo,Waylay</t>
        </is>
      </c>
      <c r="G342" s="8" t="n">
        <v>13</v>
      </c>
      <c r="H342" s="8" t="n">
        <v>10</v>
      </c>
      <c r="I342" s="8" t="n">
        <v>4</v>
      </c>
      <c r="J342" s="8" t="n">
        <v>8</v>
      </c>
      <c r="K342" s="8" t="n">
        <v>1</v>
      </c>
      <c r="L342" s="8" t="n">
        <v>1</v>
      </c>
      <c r="M342" s="8" t="n">
        <v>9</v>
      </c>
      <c r="N342" s="8" t="n">
        <v>2</v>
      </c>
      <c r="O342" s="8" t="n">
        <v>4</v>
      </c>
      <c r="P342" s="8" t="n">
        <v>8</v>
      </c>
      <c r="Q342" s="8" t="inlineStr">
        <is>
          <t>2026-03-02</t>
        </is>
      </c>
      <c r="R342" s="8" t="inlineStr">
        <is>
          <t>S2G Esports</t>
        </is>
      </c>
      <c r="S342" s="8" t="inlineStr">
        <is>
          <t>Pearl_Astra,Neon,Sova,Veto,Yoru</t>
        </is>
      </c>
    </row>
    <row r="343">
      <c r="A343" s="12" t="inlineStr">
        <is>
          <t>0c61f46e-f305-4b1e-84c0-7355e76f10dd</t>
        </is>
      </c>
      <c r="B343" s="12" t="inlineStr">
        <is>
          <t>Breeze</t>
        </is>
      </c>
      <c r="C343" s="12" t="inlineStr">
        <is>
          <t>S2G Esports</t>
        </is>
      </c>
      <c r="D343" s="12" t="inlineStr">
        <is>
          <t>BJK</t>
        </is>
      </c>
      <c r="E343" s="12" t="inlineStr">
        <is>
          <t>Astra,Neon,Sova,Viper,Yoru</t>
        </is>
      </c>
      <c r="F343" s="12" t="inlineStr">
        <is>
          <t>Astra,Jett,Sova,Viper,Yoru</t>
        </is>
      </c>
      <c r="G343" s="12" t="n">
        <v>13</v>
      </c>
      <c r="H343" s="12" t="n">
        <v>3</v>
      </c>
      <c r="I343" s="12" t="n">
        <v>9</v>
      </c>
      <c r="J343" s="12" t="n">
        <v>3</v>
      </c>
      <c r="K343" s="12" t="n">
        <v>1</v>
      </c>
      <c r="L343" s="12" t="n">
        <v>1</v>
      </c>
      <c r="M343" s="12" t="n">
        <v>4</v>
      </c>
      <c r="N343" s="12" t="n">
        <v>0</v>
      </c>
      <c r="O343" s="12" t="n">
        <v>9</v>
      </c>
      <c r="P343" s="12" t="n">
        <v>3</v>
      </c>
      <c r="Q343" s="12" t="inlineStr">
        <is>
          <t>2026-03-02</t>
        </is>
      </c>
      <c r="R343" s="12" t="inlineStr">
        <is>
          <t>S2G Esports</t>
        </is>
      </c>
      <c r="S343" s="12" t="inlineStr">
        <is>
          <t>Breeze_Astra,Neon,Sova,Viper,Yoru</t>
        </is>
      </c>
    </row>
    <row r="344">
      <c r="A344" s="8" t="inlineStr">
        <is>
          <t>f60966d6-5b47-49a0-b5bf-11c5779d98b2</t>
        </is>
      </c>
      <c r="B344" s="8" t="inlineStr">
        <is>
          <t>Corrode</t>
        </is>
      </c>
      <c r="C344" s="8" t="inlineStr">
        <is>
          <t>S2G Esports</t>
        </is>
      </c>
      <c r="D344" s="8" t="inlineStr">
        <is>
          <t>BJK</t>
        </is>
      </c>
      <c r="E344" s="8" t="inlineStr">
        <is>
          <t>Brimstone,KAY/O,Tejo,Viper,Waylay</t>
        </is>
      </c>
      <c r="F344" s="8" t="inlineStr">
        <is>
          <t>KAY/O,Omen,Sova,Viper,Waylay</t>
        </is>
      </c>
      <c r="G344" s="8" t="n">
        <v>8</v>
      </c>
      <c r="H344" s="8" t="n">
        <v>13</v>
      </c>
      <c r="I344" s="8" t="n">
        <v>3</v>
      </c>
      <c r="J344" s="8" t="n">
        <v>9</v>
      </c>
      <c r="K344" s="8" t="n">
        <v>0</v>
      </c>
      <c r="L344" s="8" t="n">
        <v>1</v>
      </c>
      <c r="M344" s="8" t="n">
        <v>3</v>
      </c>
      <c r="N344" s="8" t="n">
        <v>9</v>
      </c>
      <c r="O344" s="8" t="n">
        <v>5</v>
      </c>
      <c r="P344" s="8" t="n">
        <v>4</v>
      </c>
      <c r="Q344" s="8" t="inlineStr">
        <is>
          <t>2026-03-02</t>
        </is>
      </c>
      <c r="R344" s="8" t="inlineStr">
        <is>
          <t>BJK</t>
        </is>
      </c>
      <c r="S344" s="8" t="inlineStr">
        <is>
          <t>Corrode_Brimstone,KAY/O,Tejo,Viper,Waylay</t>
        </is>
      </c>
    </row>
    <row r="345">
      <c r="A345" s="12" t="inlineStr">
        <is>
          <t>d963b5a5-a0d0-4805-bebf-fa5d5a82969d</t>
        </is>
      </c>
      <c r="B345" s="12" t="inlineStr">
        <is>
          <t>Abyss</t>
        </is>
      </c>
      <c r="C345" s="12" t="inlineStr">
        <is>
          <t>S2G Esports</t>
        </is>
      </c>
      <c r="D345" s="12" t="inlineStr">
        <is>
          <t>BJK</t>
        </is>
      </c>
      <c r="E345" s="12" t="inlineStr">
        <is>
          <t>Astra,Sova,Viper,Waylay,Yoru</t>
        </is>
      </c>
      <c r="F345" s="12" t="inlineStr">
        <is>
          <t>Astra,Omen,Sova,Tejo,Waylay</t>
        </is>
      </c>
      <c r="G345" s="12" t="n">
        <v>13</v>
      </c>
      <c r="H345" s="12" t="n">
        <v>11</v>
      </c>
      <c r="I345" s="12" t="n">
        <v>5</v>
      </c>
      <c r="J345" s="12" t="n">
        <v>7</v>
      </c>
      <c r="K345" s="12" t="n">
        <v>0</v>
      </c>
      <c r="L345" s="12" t="n">
        <v>1</v>
      </c>
      <c r="M345" s="12" t="n">
        <v>8</v>
      </c>
      <c r="N345" s="12" t="n">
        <v>4</v>
      </c>
      <c r="O345" s="12" t="n">
        <v>5</v>
      </c>
      <c r="P345" s="12" t="n">
        <v>7</v>
      </c>
      <c r="Q345" s="12" t="inlineStr">
        <is>
          <t>2026-03-02</t>
        </is>
      </c>
      <c r="R345" s="12" t="inlineStr">
        <is>
          <t>S2G Esports</t>
        </is>
      </c>
      <c r="S345" s="12" t="inlineStr">
        <is>
          <t>Abyss_Astra,Sova,Viper,Waylay,Yoru</t>
        </is>
      </c>
    </row>
    <row r="346">
      <c r="A346" s="8" t="inlineStr">
        <is>
          <t>9f6b462d-5cc1-44da-8c96-cd31e7bcb217</t>
        </is>
      </c>
      <c r="B346" s="8" t="inlineStr">
        <is>
          <t>Split</t>
        </is>
      </c>
      <c r="C346" s="8" t="inlineStr">
        <is>
          <t>S2G Esports</t>
        </is>
      </c>
      <c r="D346" s="8" t="inlineStr">
        <is>
          <t>BJK</t>
        </is>
      </c>
      <c r="E346" s="8" t="inlineStr">
        <is>
          <t>Astra,Fade,Viper,Waylay,Yoru</t>
        </is>
      </c>
      <c r="F346" s="8" t="inlineStr">
        <is>
          <t>Fade,Omen,Raze,Viper,Yoru</t>
        </is>
      </c>
      <c r="G346" s="8" t="n">
        <v>11</v>
      </c>
      <c r="H346" s="8" t="n">
        <v>13</v>
      </c>
      <c r="I346" s="8" t="n">
        <v>7</v>
      </c>
      <c r="J346" s="8" t="n">
        <v>5</v>
      </c>
      <c r="K346" s="8" t="n">
        <v>0</v>
      </c>
      <c r="L346" s="8" t="n">
        <v>0</v>
      </c>
      <c r="M346" s="8" t="n">
        <v>4</v>
      </c>
      <c r="N346" s="8" t="n">
        <v>8</v>
      </c>
      <c r="O346" s="8" t="n">
        <v>7</v>
      </c>
      <c r="P346" s="8" t="n">
        <v>5</v>
      </c>
      <c r="Q346" s="8" t="inlineStr">
        <is>
          <t>2026-03-02</t>
        </is>
      </c>
      <c r="R346" s="8" t="inlineStr">
        <is>
          <t>BJK</t>
        </is>
      </c>
      <c r="S346" s="8" t="inlineStr">
        <is>
          <t>Split_Astra,Fade,Viper,Waylay,Yoru</t>
        </is>
      </c>
    </row>
    <row r="347">
      <c r="A347" s="12" t="inlineStr">
        <is>
          <t>6a9693d9-aa8d-4f07-b3dd-5eca23f19e70</t>
        </is>
      </c>
      <c r="B347" s="12" t="inlineStr">
        <is>
          <t>Abyss</t>
        </is>
      </c>
      <c r="C347" s="12" t="inlineStr">
        <is>
          <t>S2G Esports</t>
        </is>
      </c>
      <c r="D347" s="12" t="inlineStr">
        <is>
          <t>FF</t>
        </is>
      </c>
      <c r="E347" s="12" t="inlineStr">
        <is>
          <t>Astra,Sova,Viper,Waylay,Yoru</t>
        </is>
      </c>
      <c r="F347" s="12" t="inlineStr">
        <is>
          <t>Astra,Breach,Tejo,Veto,Waylay</t>
        </is>
      </c>
      <c r="G347" s="12" t="n">
        <v>14</v>
      </c>
      <c r="H347" s="12" t="n">
        <v>12</v>
      </c>
      <c r="I347" s="12" t="n">
        <v>9</v>
      </c>
      <c r="J347" s="12" t="n">
        <v>3</v>
      </c>
      <c r="K347" s="12" t="n">
        <v>0</v>
      </c>
      <c r="L347" s="12" t="n">
        <v>1</v>
      </c>
      <c r="M347" s="12" t="n">
        <v>4</v>
      </c>
      <c r="N347" s="12" t="n">
        <v>9</v>
      </c>
      <c r="O347" s="12" t="n">
        <v>10</v>
      </c>
      <c r="P347" s="12" t="n">
        <v>3</v>
      </c>
      <c r="Q347" s="12" t="inlineStr">
        <is>
          <t>2026-03-01</t>
        </is>
      </c>
      <c r="R347" s="12" t="inlineStr">
        <is>
          <t>S2G Esports</t>
        </is>
      </c>
      <c r="S347" s="12" t="inlineStr">
        <is>
          <t>Abyss_Astra,Sova,Viper,Waylay,Yoru</t>
        </is>
      </c>
    </row>
    <row r="348">
      <c r="A348" s="8" t="inlineStr">
        <is>
          <t>9b973973-e09f-4121-8d0e-2b5fed540a7f</t>
        </is>
      </c>
      <c r="B348" s="8" t="inlineStr">
        <is>
          <t>Corrode</t>
        </is>
      </c>
      <c r="C348" s="8" t="inlineStr">
        <is>
          <t>S2G Esports</t>
        </is>
      </c>
      <c r="D348" s="8" t="inlineStr">
        <is>
          <t>FF</t>
        </is>
      </c>
      <c r="E348" s="8" t="inlineStr">
        <is>
          <t>Brimstone,KAY/O,Tejo,Viper,Waylay</t>
        </is>
      </c>
      <c r="F348" s="8" t="inlineStr">
        <is>
          <t>Cypher,KAY/O,Omen,Sova,Yoru</t>
        </is>
      </c>
      <c r="G348" s="8" t="n">
        <v>13</v>
      </c>
      <c r="H348" s="8" t="n">
        <v>11</v>
      </c>
      <c r="I348" s="8" t="n">
        <v>6</v>
      </c>
      <c r="J348" s="8" t="n">
        <v>6</v>
      </c>
      <c r="K348" s="8" t="n">
        <v>1</v>
      </c>
      <c r="L348" s="8" t="n">
        <v>0</v>
      </c>
      <c r="M348" s="8" t="n">
        <v>6</v>
      </c>
      <c r="N348" s="8" t="n">
        <v>6</v>
      </c>
      <c r="O348" s="8" t="n">
        <v>7</v>
      </c>
      <c r="P348" s="8" t="n">
        <v>5</v>
      </c>
      <c r="Q348" s="8" t="inlineStr">
        <is>
          <t>2026-03-01</t>
        </is>
      </c>
      <c r="R348" s="8" t="inlineStr">
        <is>
          <t>S2G Esports</t>
        </is>
      </c>
      <c r="S348" s="8" t="inlineStr">
        <is>
          <t>Corrode_Brimstone,KAY/O,Tejo,Viper,Waylay</t>
        </is>
      </c>
    </row>
    <row r="349">
      <c r="A349" s="12" t="inlineStr">
        <is>
          <t>c5ca2b99-e5b4-40eb-b410-d510cceda6c3</t>
        </is>
      </c>
      <c r="B349" s="12" t="inlineStr">
        <is>
          <t>Pearl</t>
        </is>
      </c>
      <c r="C349" s="12" t="inlineStr">
        <is>
          <t>S2G Esports</t>
        </is>
      </c>
      <c r="D349" s="12" t="inlineStr">
        <is>
          <t>FF</t>
        </is>
      </c>
      <c r="E349" s="12" t="inlineStr">
        <is>
          <t>Astra,Phoenix,Sova,Veto,Yoru</t>
        </is>
      </c>
      <c r="F349" s="12" t="inlineStr">
        <is>
          <t>Astra,Cypher,Fade,Neon,Phoenix</t>
        </is>
      </c>
      <c r="G349" s="12" t="n">
        <v>11</v>
      </c>
      <c r="H349" s="12" t="n">
        <v>13</v>
      </c>
      <c r="I349" s="12" t="n">
        <v>5</v>
      </c>
      <c r="J349" s="12" t="n">
        <v>7</v>
      </c>
      <c r="K349" s="12" t="n">
        <v>1</v>
      </c>
      <c r="L349" s="12" t="n">
        <v>0</v>
      </c>
      <c r="M349" s="12" t="n">
        <v>6</v>
      </c>
      <c r="N349" s="12" t="n">
        <v>6</v>
      </c>
      <c r="O349" s="12" t="n">
        <v>5</v>
      </c>
      <c r="P349" s="12" t="n">
        <v>7</v>
      </c>
      <c r="Q349" s="12" t="inlineStr">
        <is>
          <t>2026-03-01</t>
        </is>
      </c>
      <c r="R349" s="12" t="inlineStr">
        <is>
          <t>FF</t>
        </is>
      </c>
      <c r="S349" s="12" t="inlineStr">
        <is>
          <t>Pearl_Astra,Phoenix,Sova,Veto,Yoru</t>
        </is>
      </c>
    </row>
    <row r="350">
      <c r="A350" s="8" t="inlineStr">
        <is>
          <t>f417419e-9803-485d-9e36-364f26debf15</t>
        </is>
      </c>
      <c r="B350" s="8" t="inlineStr">
        <is>
          <t>Split</t>
        </is>
      </c>
      <c r="C350" s="8" t="inlineStr">
        <is>
          <t>S2G Esports</t>
        </is>
      </c>
      <c r="D350" s="8" t="inlineStr">
        <is>
          <t>MISA</t>
        </is>
      </c>
      <c r="E350" s="8" t="inlineStr">
        <is>
          <t>Fade,Omen,Viper,Waylay,Yoru</t>
        </is>
      </c>
      <c r="F350" s="8" t="inlineStr">
        <is>
          <t>Breach,Fade,Omen,Viper,Waylay</t>
        </is>
      </c>
      <c r="G350" s="8" t="n">
        <v>5</v>
      </c>
      <c r="H350" s="8" t="n">
        <v>13</v>
      </c>
      <c r="I350" s="8" t="n">
        <v>5</v>
      </c>
      <c r="J350" s="8" t="n">
        <v>7</v>
      </c>
      <c r="K350" s="8" t="n">
        <v>0</v>
      </c>
      <c r="L350" s="8" t="n">
        <v>0</v>
      </c>
      <c r="M350" s="8" t="n">
        <v>5</v>
      </c>
      <c r="N350" s="8" t="n">
        <v>7</v>
      </c>
      <c r="O350" s="8" t="n">
        <v>0</v>
      </c>
      <c r="P350" s="8" t="n">
        <v>6</v>
      </c>
      <c r="Q350" s="8" t="inlineStr">
        <is>
          <t>2026-02-28</t>
        </is>
      </c>
      <c r="R350" s="8" t="inlineStr">
        <is>
          <t>MISA</t>
        </is>
      </c>
      <c r="S350" s="8" t="inlineStr">
        <is>
          <t>Split_Fade,Omen,Viper,Waylay,Yoru</t>
        </is>
      </c>
    </row>
    <row r="351">
      <c r="A351" s="12" t="inlineStr">
        <is>
          <t>4dbc0f77-61f8-417c-8561-1f6dd34d0333</t>
        </is>
      </c>
      <c r="B351" s="12" t="inlineStr">
        <is>
          <t>Breeze</t>
        </is>
      </c>
      <c r="C351" s="12" t="inlineStr">
        <is>
          <t>S2G Esports</t>
        </is>
      </c>
      <c r="D351" s="12" t="inlineStr">
        <is>
          <t>MISA</t>
        </is>
      </c>
      <c r="E351" s="12" t="inlineStr">
        <is>
          <t>Neon,Omen,Sova,Viper,Yoru</t>
        </is>
      </c>
      <c r="F351" s="12" t="inlineStr">
        <is>
          <t>Astra,Neon,Sova,Viper,Yoru</t>
        </is>
      </c>
      <c r="G351" s="12" t="n">
        <v>8</v>
      </c>
      <c r="H351" s="12" t="n">
        <v>13</v>
      </c>
      <c r="I351" s="12" t="n">
        <v>4</v>
      </c>
      <c r="J351" s="12" t="n">
        <v>8</v>
      </c>
      <c r="K351" s="12" t="n">
        <v>1</v>
      </c>
      <c r="L351" s="12" t="n">
        <v>1</v>
      </c>
      <c r="M351" s="12" t="n">
        <v>4</v>
      </c>
      <c r="N351" s="12" t="n">
        <v>8</v>
      </c>
      <c r="O351" s="12" t="n">
        <v>4</v>
      </c>
      <c r="P351" s="12" t="n">
        <v>5</v>
      </c>
      <c r="Q351" s="12" t="inlineStr">
        <is>
          <t>2026-02-28</t>
        </is>
      </c>
      <c r="R351" s="12" t="inlineStr">
        <is>
          <t>MISA</t>
        </is>
      </c>
      <c r="S351" s="12" t="inlineStr">
        <is>
          <t>Breeze_Neon,Omen,Sova,Viper,Yoru</t>
        </is>
      </c>
    </row>
    <row r="352">
      <c r="A352" s="8" t="inlineStr">
        <is>
          <t>fe2ae951-95c5-45bc-9f46-938f8d85b5d0</t>
        </is>
      </c>
      <c r="B352" s="8" t="inlineStr">
        <is>
          <t>Breeze</t>
        </is>
      </c>
      <c r="C352" s="8" t="inlineStr">
        <is>
          <t>S2G Esports</t>
        </is>
      </c>
      <c r="D352" s="8" t="inlineStr">
        <is>
          <t>FA</t>
        </is>
      </c>
      <c r="E352" s="8" t="inlineStr">
        <is>
          <t>Astra,Neon,Sova,Viper,Yoru</t>
        </is>
      </c>
      <c r="F352" s="8" t="inlineStr">
        <is>
          <t>Astra,Neon,Sova,Viper,Yoru</t>
        </is>
      </c>
      <c r="G352" s="8" t="n">
        <v>10</v>
      </c>
      <c r="H352" s="8" t="n">
        <v>13</v>
      </c>
      <c r="I352" s="8" t="n">
        <v>4</v>
      </c>
      <c r="J352" s="8" t="n">
        <v>8</v>
      </c>
      <c r="K352" s="8" t="n">
        <v>0</v>
      </c>
      <c r="L352" s="8" t="n">
        <v>0</v>
      </c>
      <c r="M352" s="8" t="n">
        <v>6</v>
      </c>
      <c r="N352" s="8" t="n">
        <v>5</v>
      </c>
      <c r="O352" s="8" t="n">
        <v>4</v>
      </c>
      <c r="P352" s="8" t="n">
        <v>8</v>
      </c>
      <c r="Q352" s="8" t="inlineStr">
        <is>
          <t>2026-02-08</t>
        </is>
      </c>
      <c r="R352" s="8" t="inlineStr">
        <is>
          <t>FA</t>
        </is>
      </c>
      <c r="S352" s="8" t="inlineStr">
        <is>
          <t>Breeze_Astra,Neon,Sova,Viper,Yoru</t>
        </is>
      </c>
    </row>
    <row r="353">
      <c r="A353" s="12" t="inlineStr">
        <is>
          <t>a793f3a0-2431-4a02-8f58-bd86c863070c</t>
        </is>
      </c>
      <c r="B353" s="12" t="inlineStr">
        <is>
          <t>Corrode</t>
        </is>
      </c>
      <c r="C353" s="12" t="inlineStr">
        <is>
          <t>S2G Esports</t>
        </is>
      </c>
      <c r="D353" s="12" t="inlineStr">
        <is>
          <t>FA</t>
        </is>
      </c>
      <c r="E353" s="12" t="inlineStr">
        <is>
          <t>Fade,Omen,Viper,Waylay,Yoru</t>
        </is>
      </c>
      <c r="F353" s="12" t="inlineStr">
        <is>
          <t>KAY/O,Omen,Sova,Viper,Waylay</t>
        </is>
      </c>
      <c r="G353" s="12" t="n">
        <v>10</v>
      </c>
      <c r="H353" s="12" t="n">
        <v>13</v>
      </c>
      <c r="I353" s="12" t="n">
        <v>4</v>
      </c>
      <c r="J353" s="12" t="n">
        <v>8</v>
      </c>
      <c r="K353" s="12" t="n">
        <v>1</v>
      </c>
      <c r="L353" s="12" t="n">
        <v>0</v>
      </c>
      <c r="M353" s="12" t="n">
        <v>6</v>
      </c>
      <c r="N353" s="12" t="n">
        <v>5</v>
      </c>
      <c r="O353" s="12" t="n">
        <v>4</v>
      </c>
      <c r="P353" s="12" t="n">
        <v>8</v>
      </c>
      <c r="Q353" s="12" t="inlineStr">
        <is>
          <t>2026-02-08</t>
        </is>
      </c>
      <c r="R353" s="12" t="inlineStr">
        <is>
          <t>FA</t>
        </is>
      </c>
      <c r="S353" s="12" t="inlineStr">
        <is>
          <t>Corrode_Fade,Omen,Viper,Waylay,Yoru</t>
        </is>
      </c>
    </row>
    <row r="354">
      <c r="A354" s="8" t="inlineStr">
        <is>
          <t>b58f6b5e-dec7-4351-80d5-47e44fab05ad</t>
        </is>
      </c>
      <c r="B354" s="8" t="inlineStr">
        <is>
          <t>Abyss</t>
        </is>
      </c>
      <c r="C354" s="8" t="inlineStr">
        <is>
          <t>S2G Esports</t>
        </is>
      </c>
      <c r="D354" s="8" t="inlineStr">
        <is>
          <t>EF</t>
        </is>
      </c>
      <c r="E354" s="8" t="inlineStr">
        <is>
          <t>Astra,Sova,Viper,Waylay,Yoru</t>
        </is>
      </c>
      <c r="F354" s="8" t="inlineStr">
        <is>
          <t>Astra,Cypher,Jett,KAY/O,Sova</t>
        </is>
      </c>
      <c r="G354" s="8" t="n">
        <v>12</v>
      </c>
      <c r="H354" s="8" t="n">
        <v>14</v>
      </c>
      <c r="I354" s="8" t="n">
        <v>6</v>
      </c>
      <c r="J354" s="8" t="n">
        <v>6</v>
      </c>
      <c r="K354" s="8" t="n">
        <v>0</v>
      </c>
      <c r="L354" s="8" t="n">
        <v>1</v>
      </c>
      <c r="M354" s="8" t="n">
        <v>6</v>
      </c>
      <c r="N354" s="8" t="n">
        <v>7</v>
      </c>
      <c r="O354" s="8" t="n">
        <v>6</v>
      </c>
      <c r="P354" s="8" t="n">
        <v>7</v>
      </c>
      <c r="Q354" s="8" t="inlineStr">
        <is>
          <t>2026-02-02</t>
        </is>
      </c>
      <c r="R354" s="8" t="inlineStr">
        <is>
          <t>EF</t>
        </is>
      </c>
      <c r="S354" s="8" t="inlineStr">
        <is>
          <t>Abyss_Astra,Sova,Viper,Waylay,Yoru</t>
        </is>
      </c>
    </row>
    <row r="355">
      <c r="A355" s="12" t="inlineStr">
        <is>
          <t>e6304a36-7460-418c-ae43-0723db870e46</t>
        </is>
      </c>
      <c r="B355" s="12" t="inlineStr">
        <is>
          <t>Haven</t>
        </is>
      </c>
      <c r="C355" s="12" t="inlineStr">
        <is>
          <t>S2G Esports</t>
        </is>
      </c>
      <c r="D355" s="12" t="inlineStr">
        <is>
          <t>EF</t>
        </is>
      </c>
      <c r="E355" s="12" t="inlineStr">
        <is>
          <t>Cypher,Neon,Omen,Sova,Yoru</t>
        </is>
      </c>
      <c r="F355" s="12" t="inlineStr">
        <is>
          <t>Cypher,Neon,Omen,Sova,Yoru</t>
        </is>
      </c>
      <c r="G355" s="12" t="n">
        <v>10</v>
      </c>
      <c r="H355" s="12" t="n">
        <v>13</v>
      </c>
      <c r="I355" s="12" t="n">
        <v>8</v>
      </c>
      <c r="J355" s="12" t="n">
        <v>4</v>
      </c>
      <c r="K355" s="12" t="n">
        <v>1</v>
      </c>
      <c r="L355" s="12" t="n">
        <v>1</v>
      </c>
      <c r="M355" s="12" t="n">
        <v>2</v>
      </c>
      <c r="N355" s="12" t="n">
        <v>9</v>
      </c>
      <c r="O355" s="12" t="n">
        <v>8</v>
      </c>
      <c r="P355" s="12" t="n">
        <v>4</v>
      </c>
      <c r="Q355" s="12" t="inlineStr">
        <is>
          <t>2026-02-02</t>
        </is>
      </c>
      <c r="R355" s="12" t="inlineStr">
        <is>
          <t>EF</t>
        </is>
      </c>
      <c r="S355" s="12" t="inlineStr">
        <is>
          <t>Haven_Cypher,Neon,Omen,Sova,Yoru</t>
        </is>
      </c>
    </row>
    <row r="356">
      <c r="A356" s="8" t="inlineStr">
        <is>
          <t>705f4334-f207-40f8-a3b0-f2d7f5f85cc9</t>
        </is>
      </c>
      <c r="B356" s="8" t="inlineStr">
        <is>
          <t>Corrode</t>
        </is>
      </c>
      <c r="C356" s="8" t="inlineStr">
        <is>
          <t>S2G Esports</t>
        </is>
      </c>
      <c r="D356" s="8" t="inlineStr">
        <is>
          <t>EF</t>
        </is>
      </c>
      <c r="E356" s="8" t="inlineStr">
        <is>
          <t>Fade,Omen,Viper,Waylay,Yoru</t>
        </is>
      </c>
      <c r="F356" s="8" t="inlineStr">
        <is>
          <t>KAY/O,Omen,Sova,Viper,Waylay</t>
        </is>
      </c>
      <c r="G356" s="8" t="n">
        <v>13</v>
      </c>
      <c r="H356" s="8" t="n">
        <v>10</v>
      </c>
      <c r="I356" s="8" t="n">
        <v>6</v>
      </c>
      <c r="J356" s="8" t="n">
        <v>6</v>
      </c>
      <c r="K356" s="8" t="n">
        <v>1</v>
      </c>
      <c r="L356" s="8" t="n">
        <v>1</v>
      </c>
      <c r="M356" s="8" t="n">
        <v>6</v>
      </c>
      <c r="N356" s="8" t="n">
        <v>6</v>
      </c>
      <c r="O356" s="8" t="n">
        <v>7</v>
      </c>
      <c r="P356" s="8" t="n">
        <v>4</v>
      </c>
      <c r="Q356" s="8" t="inlineStr">
        <is>
          <t>2026-02-02</t>
        </is>
      </c>
      <c r="R356" s="8" t="inlineStr">
        <is>
          <t>S2G Esports</t>
        </is>
      </c>
      <c r="S356" s="8" t="inlineStr">
        <is>
          <t>Corrode_Fade,Omen,Viper,Waylay,Yoru</t>
        </is>
      </c>
    </row>
    <row r="357">
      <c r="A357" s="12" t="inlineStr">
        <is>
          <t>c68ddd20-2f3c-4cb9-87cf-2d60e011c319</t>
        </is>
      </c>
      <c r="B357" s="12" t="inlineStr">
        <is>
          <t>Split</t>
        </is>
      </c>
      <c r="C357" s="12" t="inlineStr">
        <is>
          <t>S2G Esports</t>
        </is>
      </c>
      <c r="D357" s="12" t="inlineStr">
        <is>
          <t>GS</t>
        </is>
      </c>
      <c r="E357" s="12" t="inlineStr">
        <is>
          <t>Fade,Omen,Viper,Waylay,Yoru</t>
        </is>
      </c>
      <c r="F357" s="12" t="inlineStr">
        <is>
          <t>Astra,Fade,Veto,Viper,Yoru</t>
        </is>
      </c>
      <c r="G357" s="12" t="n">
        <v>13</v>
      </c>
      <c r="H357" s="12" t="n">
        <v>10</v>
      </c>
      <c r="I357" s="12" t="n">
        <v>6</v>
      </c>
      <c r="J357" s="12" t="n">
        <v>6</v>
      </c>
      <c r="K357" s="12" t="n">
        <v>1</v>
      </c>
      <c r="L357" s="12" t="n">
        <v>0</v>
      </c>
      <c r="M357" s="12" t="n">
        <v>6</v>
      </c>
      <c r="N357" s="12" t="n">
        <v>6</v>
      </c>
      <c r="O357" s="12" t="n">
        <v>7</v>
      </c>
      <c r="P357" s="12" t="n">
        <v>4</v>
      </c>
      <c r="Q357" s="12" t="inlineStr">
        <is>
          <t>2026-01-31</t>
        </is>
      </c>
      <c r="R357" s="12" t="inlineStr">
        <is>
          <t>S2G Esports</t>
        </is>
      </c>
      <c r="S357" s="12" t="inlineStr">
        <is>
          <t>Split_Fade,Omen,Viper,Waylay,Yoru</t>
        </is>
      </c>
    </row>
    <row r="358">
      <c r="A358" s="8" t="inlineStr">
        <is>
          <t>4c110607-9058-46de-a374-6da32b8e7545</t>
        </is>
      </c>
      <c r="B358" s="8" t="inlineStr">
        <is>
          <t>Bind</t>
        </is>
      </c>
      <c r="C358" s="8" t="inlineStr">
        <is>
          <t>S2G Esports</t>
        </is>
      </c>
      <c r="D358" s="8" t="inlineStr">
        <is>
          <t>GS</t>
        </is>
      </c>
      <c r="E358" s="8" t="inlineStr">
        <is>
          <t>Astra,Brimstone,KAY/O,Tejo,Waylay</t>
        </is>
      </c>
      <c r="F358" s="8" t="inlineStr">
        <is>
          <t>Brimstone,Chamber,Skye,Viper,Waylay</t>
        </is>
      </c>
      <c r="G358" s="8" t="n">
        <v>10</v>
      </c>
      <c r="H358" s="8" t="n">
        <v>13</v>
      </c>
      <c r="I358" s="8" t="n">
        <v>5</v>
      </c>
      <c r="J358" s="8" t="n">
        <v>7</v>
      </c>
      <c r="K358" s="8" t="n">
        <v>1</v>
      </c>
      <c r="L358" s="8" t="n">
        <v>1</v>
      </c>
      <c r="M358" s="8" t="n">
        <v>5</v>
      </c>
      <c r="N358" s="8" t="n">
        <v>7</v>
      </c>
      <c r="O358" s="8" t="n">
        <v>5</v>
      </c>
      <c r="P358" s="8" t="n">
        <v>6</v>
      </c>
      <c r="Q358" s="8" t="inlineStr">
        <is>
          <t>2026-01-31</t>
        </is>
      </c>
      <c r="R358" s="8" t="inlineStr">
        <is>
          <t>GS</t>
        </is>
      </c>
      <c r="S358" s="8" t="inlineStr">
        <is>
          <t>Bind_Astra,Brimstone,KAY/O,Tejo,Waylay</t>
        </is>
      </c>
    </row>
    <row r="359">
      <c r="A359" s="12" t="inlineStr">
        <is>
          <t>0bf17bae-fa0c-4ef2-96c3-e8450289bf22</t>
        </is>
      </c>
      <c r="B359" s="12" t="inlineStr">
        <is>
          <t>Haven</t>
        </is>
      </c>
      <c r="C359" s="12" t="inlineStr">
        <is>
          <t>S2G Esports</t>
        </is>
      </c>
      <c r="D359" s="12" t="inlineStr">
        <is>
          <t>MISA</t>
        </is>
      </c>
      <c r="E359" s="12" t="inlineStr">
        <is>
          <t>Cypher,Neon,Omen,Sova,Yoru</t>
        </is>
      </c>
      <c r="F359" s="12" t="inlineStr">
        <is>
          <t>Cypher,Neon,Omen,Sova,Yoru</t>
        </is>
      </c>
      <c r="G359" s="12" t="n">
        <v>10</v>
      </c>
      <c r="H359" s="12" t="n">
        <v>13</v>
      </c>
      <c r="I359" s="12" t="n">
        <v>8</v>
      </c>
      <c r="J359" s="12" t="n">
        <v>4</v>
      </c>
      <c r="K359" s="12" t="n">
        <v>1</v>
      </c>
      <c r="L359" s="12" t="n">
        <v>0</v>
      </c>
      <c r="M359" s="12" t="n">
        <v>8</v>
      </c>
      <c r="N359" s="12" t="n">
        <v>4</v>
      </c>
      <c r="O359" s="12" t="n">
        <v>2</v>
      </c>
      <c r="P359" s="12" t="n">
        <v>9</v>
      </c>
      <c r="Q359" s="12" t="inlineStr">
        <is>
          <t>2026-01-26</t>
        </is>
      </c>
      <c r="R359" s="12" t="inlineStr">
        <is>
          <t>MISA</t>
        </is>
      </c>
      <c r="S359" s="12" t="inlineStr">
        <is>
          <t>Haven_Cypher,Neon,Omen,Sova,Yoru</t>
        </is>
      </c>
    </row>
    <row r="360">
      <c r="A360" s="8" t="inlineStr">
        <is>
          <t>883332c5-0d34-4cf9-a8df-21c064ffe853</t>
        </is>
      </c>
      <c r="B360" s="8" t="inlineStr">
        <is>
          <t>Pearl</t>
        </is>
      </c>
      <c r="C360" s="8" t="inlineStr">
        <is>
          <t>S2G Esports</t>
        </is>
      </c>
      <c r="D360" s="8" t="inlineStr">
        <is>
          <t>MISA</t>
        </is>
      </c>
      <c r="E360" s="8" t="inlineStr">
        <is>
          <t>Astra,Fade,Killjoy,Neon,Yoru</t>
        </is>
      </c>
      <c r="F360" s="8" t="inlineStr">
        <is>
          <t>Astra,Cypher,Fade,Tejo,Yoru</t>
        </is>
      </c>
      <c r="G360" s="8" t="n">
        <v>11</v>
      </c>
      <c r="H360" s="8" t="n">
        <v>13</v>
      </c>
      <c r="I360" s="8" t="n">
        <v>3</v>
      </c>
      <c r="J360" s="8" t="n">
        <v>9</v>
      </c>
      <c r="K360" s="8" t="n">
        <v>0</v>
      </c>
      <c r="L360" s="8" t="n">
        <v>1</v>
      </c>
      <c r="M360" s="8" t="n">
        <v>3</v>
      </c>
      <c r="N360" s="8" t="n">
        <v>9</v>
      </c>
      <c r="O360" s="8" t="n">
        <v>8</v>
      </c>
      <c r="P360" s="8" t="n">
        <v>4</v>
      </c>
      <c r="Q360" s="8" t="inlineStr">
        <is>
          <t>2026-01-26</t>
        </is>
      </c>
      <c r="R360" s="8" t="inlineStr">
        <is>
          <t>MISA</t>
        </is>
      </c>
      <c r="S360" s="8" t="inlineStr">
        <is>
          <t>Pearl_Astra,Fade,Killjoy,Neon,Yoru</t>
        </is>
      </c>
    </row>
    <row r="361">
      <c r="A361" s="12" t="inlineStr">
        <is>
          <t>9c943dc9-95ae-47cc-97b1-e842bec35dc5</t>
        </is>
      </c>
      <c r="B361" s="12" t="inlineStr">
        <is>
          <t>Breeze</t>
        </is>
      </c>
      <c r="C361" s="12" t="inlineStr">
        <is>
          <t>S2G Esports</t>
        </is>
      </c>
      <c r="D361" s="12" t="inlineStr">
        <is>
          <t>FF</t>
        </is>
      </c>
      <c r="E361" s="12" t="inlineStr">
        <is>
          <t>Astra,Neon,Sova,Viper,Yoru</t>
        </is>
      </c>
      <c r="F361" s="12" t="inlineStr">
        <is>
          <t>Omen,Skye,Sova,Viper,Yoru</t>
        </is>
      </c>
      <c r="G361" s="12" t="n">
        <v>14</v>
      </c>
      <c r="H361" s="12" t="n">
        <v>12</v>
      </c>
      <c r="I361" s="12" t="n">
        <v>6</v>
      </c>
      <c r="J361" s="12" t="n">
        <v>6</v>
      </c>
      <c r="K361" s="12" t="n">
        <v>0</v>
      </c>
      <c r="L361" s="12" t="n">
        <v>0</v>
      </c>
      <c r="M361" s="12" t="n">
        <v>7</v>
      </c>
      <c r="N361" s="12" t="n">
        <v>6</v>
      </c>
      <c r="O361" s="12" t="n">
        <v>7</v>
      </c>
      <c r="P361" s="12" t="n">
        <v>6</v>
      </c>
      <c r="Q361" s="12" t="inlineStr">
        <is>
          <t>2026-01-24</t>
        </is>
      </c>
      <c r="R361" s="12" t="inlineStr">
        <is>
          <t>S2G Esports</t>
        </is>
      </c>
      <c r="S361" s="12" t="inlineStr">
        <is>
          <t>Breeze_Astra,Neon,Sova,Viper,Yoru</t>
        </is>
      </c>
    </row>
    <row r="362">
      <c r="A362" s="8" t="inlineStr">
        <is>
          <t>0396bed3-5c36-46b5-b281-5c09c6a278f5</t>
        </is>
      </c>
      <c r="B362" s="8" t="inlineStr">
        <is>
          <t>Abyss</t>
        </is>
      </c>
      <c r="C362" s="8" t="inlineStr">
        <is>
          <t>S2G Esports</t>
        </is>
      </c>
      <c r="D362" s="8" t="inlineStr">
        <is>
          <t>FF</t>
        </is>
      </c>
      <c r="E362" s="8" t="inlineStr">
        <is>
          <t>Astra,Sova,Viper,Waylay,Yoru</t>
        </is>
      </c>
      <c r="F362" s="8" t="inlineStr">
        <is>
          <t>Breach,Harbor,Omen,Sova,Waylay</t>
        </is>
      </c>
      <c r="G362" s="8" t="n">
        <v>13</v>
      </c>
      <c r="H362" s="8" t="n">
        <v>3</v>
      </c>
      <c r="I362" s="8" t="n">
        <v>10</v>
      </c>
      <c r="J362" s="8" t="n">
        <v>2</v>
      </c>
      <c r="K362" s="8" t="n">
        <v>0</v>
      </c>
      <c r="L362" s="8" t="n">
        <v>1</v>
      </c>
      <c r="M362" s="8" t="n">
        <v>10</v>
      </c>
      <c r="N362" s="8" t="n">
        <v>2</v>
      </c>
      <c r="O362" s="8" t="n">
        <v>3</v>
      </c>
      <c r="P362" s="8" t="n">
        <v>1</v>
      </c>
      <c r="Q362" s="8" t="inlineStr">
        <is>
          <t>2026-01-24</t>
        </is>
      </c>
      <c r="R362" s="8" t="inlineStr">
        <is>
          <t>S2G Esports</t>
        </is>
      </c>
      <c r="S362" s="8" t="inlineStr">
        <is>
          <t>Abyss_Astra,Sova,Viper,Waylay,Yoru</t>
        </is>
      </c>
    </row>
    <row r="363">
      <c r="A363" s="12" t="inlineStr">
        <is>
          <t>c32c9541-18a1-4c09-b1e9-a3df412e2ac8</t>
        </is>
      </c>
      <c r="B363" s="12" t="inlineStr">
        <is>
          <t>Abyss</t>
        </is>
      </c>
      <c r="C363" s="12" t="inlineStr">
        <is>
          <t>S2G Esports</t>
        </is>
      </c>
      <c r="D363" s="12" t="inlineStr">
        <is>
          <t>BW</t>
        </is>
      </c>
      <c r="E363" s="12" t="inlineStr">
        <is>
          <t>Astra,Sova,Viper,Waylay,Yoru</t>
        </is>
      </c>
      <c r="F363" s="12" t="inlineStr">
        <is>
          <t>Astra,Cypher,Jett,Sova,Yoru</t>
        </is>
      </c>
      <c r="G363" s="12" t="n">
        <v>13</v>
      </c>
      <c r="H363" s="12" t="n">
        <v>4</v>
      </c>
      <c r="I363" s="12" t="n">
        <v>9</v>
      </c>
      <c r="J363" s="12" t="n">
        <v>3</v>
      </c>
      <c r="K363" s="12" t="n">
        <v>1</v>
      </c>
      <c r="L363" s="12" t="n">
        <v>1</v>
      </c>
      <c r="M363" s="12" t="n">
        <v>9</v>
      </c>
      <c r="N363" s="12" t="n">
        <v>3</v>
      </c>
      <c r="O363" s="12" t="n">
        <v>4</v>
      </c>
      <c r="P363" s="12" t="n">
        <v>1</v>
      </c>
      <c r="Q363" s="12" t="inlineStr">
        <is>
          <t>2026-01-18</t>
        </is>
      </c>
      <c r="R363" s="12" t="inlineStr">
        <is>
          <t>S2G Esports</t>
        </is>
      </c>
      <c r="S363" s="12" t="inlineStr">
        <is>
          <t>Abyss_Astra,Sova,Viper,Waylay,Yoru</t>
        </is>
      </c>
    </row>
    <row r="364">
      <c r="A364" s="8" t="inlineStr">
        <is>
          <t>e7b0f3c1-7d1c-4c02-8ae0-86bde71df8e7</t>
        </is>
      </c>
      <c r="B364" s="8" t="inlineStr">
        <is>
          <t>Breeze</t>
        </is>
      </c>
      <c r="C364" s="8" t="inlineStr">
        <is>
          <t>S2G Esports</t>
        </is>
      </c>
      <c r="D364" s="8" t="inlineStr">
        <is>
          <t>BW</t>
        </is>
      </c>
      <c r="E364" s="8" t="inlineStr">
        <is>
          <t>Cypher,Omen,Sova,Viper,Yoru</t>
        </is>
      </c>
      <c r="F364" s="8" t="inlineStr">
        <is>
          <t>Astra,Jett,Sova,Viper,Yoru</t>
        </is>
      </c>
      <c r="G364" s="8" t="n">
        <v>14</v>
      </c>
      <c r="H364" s="8" t="n">
        <v>12</v>
      </c>
      <c r="I364" s="8" t="n">
        <v>7</v>
      </c>
      <c r="J364" s="8" t="n">
        <v>5</v>
      </c>
      <c r="K364" s="8" t="n">
        <v>1</v>
      </c>
      <c r="L364" s="8" t="n">
        <v>1</v>
      </c>
      <c r="M364" s="8" t="n">
        <v>8</v>
      </c>
      <c r="N364" s="8" t="n">
        <v>5</v>
      </c>
      <c r="O364" s="8" t="n">
        <v>6</v>
      </c>
      <c r="P364" s="8" t="n">
        <v>7</v>
      </c>
      <c r="Q364" s="8" t="inlineStr">
        <is>
          <t>2026-01-18</t>
        </is>
      </c>
      <c r="R364" s="8" t="inlineStr">
        <is>
          <t>S2G Esports</t>
        </is>
      </c>
      <c r="S364" s="8" t="inlineStr">
        <is>
          <t>Breeze_Cypher,Omen,Sova,Viper,Yoru</t>
        </is>
      </c>
    </row>
    <row r="365">
      <c r="A365" s="12" t="inlineStr">
        <is>
          <t>a89952f3-1e67-40f3-959f-ae561eb6a3a8</t>
        </is>
      </c>
      <c r="B365" s="12" t="inlineStr">
        <is>
          <t>Haven</t>
        </is>
      </c>
      <c r="C365" s="12" t="inlineStr">
        <is>
          <t>S2G Esports</t>
        </is>
      </c>
      <c r="D365" s="12" t="inlineStr">
        <is>
          <t>BJK</t>
        </is>
      </c>
      <c r="E365" s="12" t="inlineStr">
        <is>
          <t>Cypher,Neon,Omen,Sova,Yoru</t>
        </is>
      </c>
      <c r="F365" s="12" t="inlineStr">
        <is>
          <t>Breach,Killjoy,Neon,Omen,Sova</t>
        </is>
      </c>
      <c r="G365" s="12" t="n">
        <v>13</v>
      </c>
      <c r="H365" s="12" t="n">
        <v>2</v>
      </c>
      <c r="I365" s="12" t="n">
        <v>10</v>
      </c>
      <c r="J365" s="12" t="n">
        <v>2</v>
      </c>
      <c r="K365" s="12" t="n">
        <v>1</v>
      </c>
      <c r="L365" s="12" t="n">
        <v>1</v>
      </c>
      <c r="M365" s="12" t="n">
        <v>3</v>
      </c>
      <c r="N365" s="12" t="n">
        <v>0</v>
      </c>
      <c r="O365" s="12" t="n">
        <v>10</v>
      </c>
      <c r="P365" s="12" t="n">
        <v>2</v>
      </c>
      <c r="Q365" s="12" t="inlineStr">
        <is>
          <t>2026-01-10</t>
        </is>
      </c>
      <c r="R365" s="12" t="inlineStr">
        <is>
          <t>S2G Esports</t>
        </is>
      </c>
      <c r="S365" s="12" t="inlineStr">
        <is>
          <t>Haven_Cypher,Neon,Omen,Sova,Yoru</t>
        </is>
      </c>
    </row>
    <row r="366">
      <c r="A366" s="8" t="inlineStr">
        <is>
          <t>9833065a-193e-45c6-8dca-b2011b5a2569</t>
        </is>
      </c>
      <c r="B366" s="8" t="inlineStr">
        <is>
          <t>Abyss</t>
        </is>
      </c>
      <c r="C366" s="8" t="inlineStr">
        <is>
          <t>S2G Esports</t>
        </is>
      </c>
      <c r="D366" s="8" t="inlineStr">
        <is>
          <t>BJK</t>
        </is>
      </c>
      <c r="E366" s="8" t="inlineStr">
        <is>
          <t>Astra,Sova,Viper,Waylay,Yoru</t>
        </is>
      </c>
      <c r="F366" s="8" t="inlineStr">
        <is>
          <t>Astra,Omen,Sova,Tejo,Waylay</t>
        </is>
      </c>
      <c r="G366" s="8" t="n">
        <v>15</v>
      </c>
      <c r="H366" s="8" t="n">
        <v>13</v>
      </c>
      <c r="I366" s="8" t="n">
        <v>5</v>
      </c>
      <c r="J366" s="8" t="n">
        <v>7</v>
      </c>
      <c r="K366" s="8" t="n">
        <v>0</v>
      </c>
      <c r="L366" s="8" t="n">
        <v>1</v>
      </c>
      <c r="M366" s="8" t="n">
        <v>7</v>
      </c>
      <c r="N366" s="8" t="n">
        <v>7</v>
      </c>
      <c r="O366" s="8" t="n">
        <v>8</v>
      </c>
      <c r="P366" s="8" t="n">
        <v>6</v>
      </c>
      <c r="Q366" s="8" t="inlineStr">
        <is>
          <t>2026-01-10</t>
        </is>
      </c>
      <c r="R366" s="8" t="inlineStr">
        <is>
          <t>S2G Esports</t>
        </is>
      </c>
      <c r="S366" s="8" t="inlineStr">
        <is>
          <t>Abyss_Astra,Sova,Viper,Waylay,Yoru</t>
        </is>
      </c>
    </row>
    <row r="367">
      <c r="A367" s="12" t="inlineStr">
        <is>
          <t>de3d61c4-5b97-4b72-961f-89256a68f4d7</t>
        </is>
      </c>
      <c r="B367" s="12" t="inlineStr">
        <is>
          <t>Corrode</t>
        </is>
      </c>
      <c r="C367" s="12" t="inlineStr">
        <is>
          <t>Stallions Esports</t>
        </is>
      </c>
      <c r="D367" s="12" t="inlineStr">
        <is>
          <t>QAD</t>
        </is>
      </c>
      <c r="E367" s="12" t="inlineStr">
        <is>
          <t>Fade,Omen,Vyse,Waylay,Yoru</t>
        </is>
      </c>
      <c r="F367" s="12" t="inlineStr">
        <is>
          <t>KAY/O,Omen,Sova,Viper,Waylay</t>
        </is>
      </c>
      <c r="G367" s="12" t="n">
        <v>13</v>
      </c>
      <c r="H367" s="12" t="n">
        <v>10</v>
      </c>
      <c r="I367" s="12" t="n">
        <v>7</v>
      </c>
      <c r="J367" s="12" t="n">
        <v>5</v>
      </c>
      <c r="K367" s="12" t="n">
        <v>0</v>
      </c>
      <c r="L367" s="12" t="n">
        <v>0</v>
      </c>
      <c r="M367" s="12" t="n">
        <v>7</v>
      </c>
      <c r="N367" s="12" t="n">
        <v>5</v>
      </c>
      <c r="O367" s="12" t="n">
        <v>6</v>
      </c>
      <c r="P367" s="12" t="n">
        <v>5</v>
      </c>
      <c r="Q367" s="12" t="inlineStr">
        <is>
          <t>2026-03-03</t>
        </is>
      </c>
      <c r="R367" s="12" t="inlineStr">
        <is>
          <t>Stallions Esports</t>
        </is>
      </c>
      <c r="S367" s="12" t="inlineStr">
        <is>
          <t>Corrode_Fade,Omen,Vyse,Waylay,Yoru</t>
        </is>
      </c>
    </row>
    <row r="368">
      <c r="A368" s="8" t="inlineStr">
        <is>
          <t>ef93c4b9-8c7a-481c-bf57-8fec7dd35d35</t>
        </is>
      </c>
      <c r="B368" s="8" t="inlineStr">
        <is>
          <t>Split</t>
        </is>
      </c>
      <c r="C368" s="8" t="inlineStr">
        <is>
          <t>Stallions Esports</t>
        </is>
      </c>
      <c r="D368" s="8" t="inlineStr">
        <is>
          <t>QAD</t>
        </is>
      </c>
      <c r="E368" s="8" t="inlineStr">
        <is>
          <t>Fade,Omen,Raze,Viper,Yoru</t>
        </is>
      </c>
      <c r="F368" s="8" t="inlineStr">
        <is>
          <t>Astra,Fade,Raze,Viper,Yoru</t>
        </is>
      </c>
      <c r="G368" s="8" t="n">
        <v>5</v>
      </c>
      <c r="H368" s="8" t="n">
        <v>13</v>
      </c>
      <c r="I368" s="8" t="n">
        <v>4</v>
      </c>
      <c r="J368" s="8" t="n">
        <v>8</v>
      </c>
      <c r="K368" s="8" t="n">
        <v>0</v>
      </c>
      <c r="L368" s="8" t="n">
        <v>0</v>
      </c>
      <c r="M368" s="8" t="n">
        <v>1</v>
      </c>
      <c r="N368" s="8" t="n">
        <v>5</v>
      </c>
      <c r="O368" s="8" t="n">
        <v>4</v>
      </c>
      <c r="P368" s="8" t="n">
        <v>8</v>
      </c>
      <c r="Q368" s="8" t="inlineStr">
        <is>
          <t>2026-03-03</t>
        </is>
      </c>
      <c r="R368" s="8" t="inlineStr">
        <is>
          <t>QAD</t>
        </is>
      </c>
      <c r="S368" s="8" t="inlineStr">
        <is>
          <t>Split_Fade,Omen,Raze,Viper,Yoru</t>
        </is>
      </c>
    </row>
    <row r="369">
      <c r="A369" s="12" t="inlineStr">
        <is>
          <t>1b2bd746-7ca3-4b9e-8299-9c8734f52a30</t>
        </is>
      </c>
      <c r="B369" s="12" t="inlineStr">
        <is>
          <t>Corrode</t>
        </is>
      </c>
      <c r="C369" s="12" t="inlineStr">
        <is>
          <t>Stallions Esports</t>
        </is>
      </c>
      <c r="D369" s="12" t="inlineStr">
        <is>
          <t>FRG</t>
        </is>
      </c>
      <c r="E369" s="12" t="inlineStr">
        <is>
          <t>Fade,Omen,Vyse,Waylay,Yoru</t>
        </is>
      </c>
      <c r="F369" s="12" t="inlineStr">
        <is>
          <t>Astra,Chamber,Fade,Neon,Skye</t>
        </is>
      </c>
      <c r="G369" s="12" t="n">
        <v>13</v>
      </c>
      <c r="H369" s="12" t="n">
        <v>7</v>
      </c>
      <c r="I369" s="12" t="n">
        <v>7</v>
      </c>
      <c r="J369" s="12" t="n">
        <v>5</v>
      </c>
      <c r="K369" s="12" t="n">
        <v>1</v>
      </c>
      <c r="L369" s="12" t="n">
        <v>0</v>
      </c>
      <c r="M369" s="12" t="n">
        <v>6</v>
      </c>
      <c r="N369" s="12" t="n">
        <v>2</v>
      </c>
      <c r="O369" s="12" t="n">
        <v>7</v>
      </c>
      <c r="P369" s="12" t="n">
        <v>5</v>
      </c>
      <c r="Q369" s="12" t="inlineStr">
        <is>
          <t>2026-03-01</t>
        </is>
      </c>
      <c r="R369" s="12" t="inlineStr">
        <is>
          <t>Stallions Esports</t>
        </is>
      </c>
      <c r="S369" s="12" t="inlineStr">
        <is>
          <t>Corrode_Fade,Omen,Vyse,Waylay,Yoru</t>
        </is>
      </c>
    </row>
    <row r="370">
      <c r="A370" s="8" t="inlineStr">
        <is>
          <t>5b020a81-321d-40f3-8321-568f7520e17f</t>
        </is>
      </c>
      <c r="B370" s="8" t="inlineStr">
        <is>
          <t>Bind</t>
        </is>
      </c>
      <c r="C370" s="8" t="inlineStr">
        <is>
          <t>Stallions Esports</t>
        </is>
      </c>
      <c r="D370" s="8" t="inlineStr">
        <is>
          <t>FRG</t>
        </is>
      </c>
      <c r="E370" s="8" t="inlineStr">
        <is>
          <t>Brimstone,Fade,Raze,Viper,Yoru</t>
        </is>
      </c>
      <c r="F370" s="8" t="inlineStr">
        <is>
          <t>Astra,Chamber,Jett,Raze,Skye</t>
        </is>
      </c>
      <c r="G370" s="8" t="n">
        <v>10</v>
      </c>
      <c r="H370" s="8" t="n">
        <v>13</v>
      </c>
      <c r="I370" s="8" t="n">
        <v>4</v>
      </c>
      <c r="J370" s="8" t="n">
        <v>8</v>
      </c>
      <c r="K370" s="8" t="n">
        <v>1</v>
      </c>
      <c r="L370" s="8" t="n">
        <v>1</v>
      </c>
      <c r="M370" s="8" t="n">
        <v>6</v>
      </c>
      <c r="N370" s="8" t="n">
        <v>5</v>
      </c>
      <c r="O370" s="8" t="n">
        <v>4</v>
      </c>
      <c r="P370" s="8" t="n">
        <v>8</v>
      </c>
      <c r="Q370" s="8" t="inlineStr">
        <is>
          <t>2026-03-01</t>
        </is>
      </c>
      <c r="R370" s="8" t="inlineStr">
        <is>
          <t>FRG</t>
        </is>
      </c>
      <c r="S370" s="8" t="inlineStr">
        <is>
          <t>Bind_Brimstone,Fade,Raze,Viper,Yoru</t>
        </is>
      </c>
    </row>
    <row r="371">
      <c r="A371" s="12" t="inlineStr">
        <is>
          <t>be5dcfa5-b15b-40bf-af80-b8eb138ef1d2</t>
        </is>
      </c>
      <c r="B371" s="12" t="inlineStr">
        <is>
          <t>Split</t>
        </is>
      </c>
      <c r="C371" s="12" t="inlineStr">
        <is>
          <t>Stallions Esports</t>
        </is>
      </c>
      <c r="D371" s="12" t="inlineStr">
        <is>
          <t>FRG</t>
        </is>
      </c>
      <c r="E371" s="12" t="inlineStr">
        <is>
          <t>Fade,Omen,Raze,Viper,Yoru</t>
        </is>
      </c>
      <c r="F371" s="12" t="inlineStr">
        <is>
          <t>Astra,Chamber,Jett,Sage,Skye</t>
        </is>
      </c>
      <c r="G371" s="12" t="n">
        <v>13</v>
      </c>
      <c r="H371" s="12" t="n">
        <v>7</v>
      </c>
      <c r="I371" s="12" t="n">
        <v>6</v>
      </c>
      <c r="J371" s="12" t="n">
        <v>6</v>
      </c>
      <c r="K371" s="12" t="n">
        <v>1</v>
      </c>
      <c r="L371" s="12" t="n">
        <v>1</v>
      </c>
      <c r="M371" s="12" t="n">
        <v>6</v>
      </c>
      <c r="N371" s="12" t="n">
        <v>6</v>
      </c>
      <c r="O371" s="12" t="n">
        <v>7</v>
      </c>
      <c r="P371" s="12" t="n">
        <v>1</v>
      </c>
      <c r="Q371" s="12" t="inlineStr">
        <is>
          <t>2026-03-01</t>
        </is>
      </c>
      <c r="R371" s="12" t="inlineStr">
        <is>
          <t>Stallions Esports</t>
        </is>
      </c>
      <c r="S371" s="12" t="inlineStr">
        <is>
          <t>Split_Fade,Omen,Raze,Viper,Yoru</t>
        </is>
      </c>
    </row>
    <row r="372">
      <c r="A372" s="8" t="inlineStr">
        <is>
          <t>6a36a46f-7bff-4256-86db-06759142b3f8</t>
        </is>
      </c>
      <c r="B372" s="8" t="inlineStr">
        <is>
          <t>Corrode</t>
        </is>
      </c>
      <c r="C372" s="8" t="inlineStr">
        <is>
          <t>Stallions Esports</t>
        </is>
      </c>
      <c r="D372" s="8" t="inlineStr">
        <is>
          <t>JL</t>
        </is>
      </c>
      <c r="E372" s="8" t="inlineStr">
        <is>
          <t>Fade,Omen,Vyse,Waylay,Yoru</t>
        </is>
      </c>
      <c r="F372" s="8" t="inlineStr">
        <is>
          <t>KAY/O,Omen,Sova,Viper,Waylay</t>
        </is>
      </c>
      <c r="G372" s="8" t="n">
        <v>6</v>
      </c>
      <c r="H372" s="8" t="n">
        <v>13</v>
      </c>
      <c r="I372" s="8" t="n">
        <v>4</v>
      </c>
      <c r="J372" s="8" t="n">
        <v>8</v>
      </c>
      <c r="K372" s="8" t="n">
        <v>1</v>
      </c>
      <c r="L372" s="8" t="n">
        <v>0</v>
      </c>
      <c r="M372" s="8" t="n">
        <v>4</v>
      </c>
      <c r="N372" s="8" t="n">
        <v>8</v>
      </c>
      <c r="O372" s="8" t="n">
        <v>2</v>
      </c>
      <c r="P372" s="8" t="n">
        <v>5</v>
      </c>
      <c r="Q372" s="8" t="inlineStr">
        <is>
          <t>2026-02-21</t>
        </is>
      </c>
      <c r="R372" s="8" t="inlineStr">
        <is>
          <t>JL</t>
        </is>
      </c>
      <c r="S372" s="8" t="inlineStr">
        <is>
          <t>Corrode_Fade,Omen,Vyse,Waylay,Yoru</t>
        </is>
      </c>
    </row>
    <row r="373">
      <c r="A373" s="12" t="inlineStr">
        <is>
          <t>75198a92-fd4e-4d57-95c8-67c35f725b0e</t>
        </is>
      </c>
      <c r="B373" s="12" t="inlineStr">
        <is>
          <t>Abyss</t>
        </is>
      </c>
      <c r="C373" s="12" t="inlineStr">
        <is>
          <t>Stallions Esports</t>
        </is>
      </c>
      <c r="D373" s="12" t="inlineStr">
        <is>
          <t>JL</t>
        </is>
      </c>
      <c r="E373" s="12" t="inlineStr">
        <is>
          <t>Astra,Cypher,Sova,Waylay,Yoru</t>
        </is>
      </c>
      <c r="F373" s="12" t="inlineStr">
        <is>
          <t>Astra,Jett,Sova,Veto,Yoru</t>
        </is>
      </c>
      <c r="G373" s="12" t="n">
        <v>7</v>
      </c>
      <c r="H373" s="12" t="n">
        <v>13</v>
      </c>
      <c r="I373" s="12" t="n">
        <v>4</v>
      </c>
      <c r="J373" s="12" t="n">
        <v>8</v>
      </c>
      <c r="K373" s="12" t="n">
        <v>0</v>
      </c>
      <c r="L373" s="12" t="n">
        <v>1</v>
      </c>
      <c r="M373" s="12" t="n">
        <v>3</v>
      </c>
      <c r="N373" s="12" t="n">
        <v>5</v>
      </c>
      <c r="O373" s="12" t="n">
        <v>4</v>
      </c>
      <c r="P373" s="12" t="n">
        <v>8</v>
      </c>
      <c r="Q373" s="12" t="inlineStr">
        <is>
          <t>2026-02-21</t>
        </is>
      </c>
      <c r="R373" s="12" t="inlineStr">
        <is>
          <t>JL</t>
        </is>
      </c>
      <c r="S373" s="12" t="inlineStr">
        <is>
          <t>Abyss_Astra,Cypher,Sova,Waylay,Yoru</t>
        </is>
      </c>
    </row>
    <row r="374">
      <c r="A374" s="8" t="inlineStr">
        <is>
          <t>013d3da9-8c7b-4dc8-88a8-e70e2b87cf7a</t>
        </is>
      </c>
      <c r="B374" s="8" t="inlineStr">
        <is>
          <t>Ascent</t>
        </is>
      </c>
      <c r="C374" s="8" t="inlineStr">
        <is>
          <t>Stallions Esports</t>
        </is>
      </c>
      <c r="D374" s="8" t="inlineStr">
        <is>
          <t>JL</t>
        </is>
      </c>
      <c r="E374" s="8" t="inlineStr">
        <is>
          <t>Chamber,Clove,Jett,Sage,Yoru</t>
        </is>
      </c>
      <c r="F374" s="8" t="inlineStr">
        <is>
          <t>Chamber,Iso,Jett,Reyna,Sage</t>
        </is>
      </c>
      <c r="G374" s="8" t="n">
        <v>12</v>
      </c>
      <c r="H374" s="8" t="n">
        <v>14</v>
      </c>
      <c r="I374" s="8" t="n">
        <v>0</v>
      </c>
      <c r="J374" s="8" t="n">
        <v>12</v>
      </c>
      <c r="K374" s="8" t="n">
        <v>0</v>
      </c>
      <c r="L374" s="8" t="n">
        <v>1</v>
      </c>
      <c r="M374" s="8" t="n">
        <v>0</v>
      </c>
      <c r="N374" s="8" t="n">
        <v>13</v>
      </c>
      <c r="O374" s="8" t="n">
        <v>12</v>
      </c>
      <c r="P374" s="8" t="n">
        <v>1</v>
      </c>
      <c r="Q374" s="8" t="inlineStr">
        <is>
          <t>2026-02-21</t>
        </is>
      </c>
      <c r="R374" s="8" t="inlineStr">
        <is>
          <t>JL</t>
        </is>
      </c>
      <c r="S374" s="8" t="inlineStr">
        <is>
          <t>Ascent_Chamber,Clove,Jett,Sage,Yoru</t>
        </is>
      </c>
    </row>
    <row r="375">
      <c r="A375" s="12" t="inlineStr">
        <is>
          <t>6b34bf2d-db7c-4913-bd06-f26c954b3b46</t>
        </is>
      </c>
      <c r="B375" s="12" t="inlineStr">
        <is>
          <t>Breeze</t>
        </is>
      </c>
      <c r="C375" s="12" t="inlineStr">
        <is>
          <t>Stallions Esports</t>
        </is>
      </c>
      <c r="D375" s="12" t="inlineStr">
        <is>
          <t>GX</t>
        </is>
      </c>
      <c r="E375" s="12" t="inlineStr">
        <is>
          <t>Astra,Jett,Sova,Viper,Yoru</t>
        </is>
      </c>
      <c r="F375" s="12" t="inlineStr">
        <is>
          <t>Astra,Neon,Sova,Viper,Yoru</t>
        </is>
      </c>
      <c r="G375" s="12" t="n">
        <v>8</v>
      </c>
      <c r="H375" s="12" t="n">
        <v>13</v>
      </c>
      <c r="I375" s="12" t="n">
        <v>5</v>
      </c>
      <c r="J375" s="12" t="n">
        <v>7</v>
      </c>
      <c r="K375" s="12" t="n">
        <v>1</v>
      </c>
      <c r="L375" s="12" t="n">
        <v>1</v>
      </c>
      <c r="M375" s="12" t="n">
        <v>5</v>
      </c>
      <c r="N375" s="12" t="n">
        <v>7</v>
      </c>
      <c r="O375" s="12" t="n">
        <v>3</v>
      </c>
      <c r="P375" s="12" t="n">
        <v>6</v>
      </c>
      <c r="Q375" s="12" t="inlineStr">
        <is>
          <t>2026-02-20</t>
        </is>
      </c>
      <c r="R375" s="12" t="inlineStr">
        <is>
          <t>GX</t>
        </is>
      </c>
      <c r="S375" s="12" t="inlineStr">
        <is>
          <t>Breeze_Astra,Jett,Sova,Viper,Yoru</t>
        </is>
      </c>
    </row>
    <row r="376">
      <c r="A376" s="8" t="inlineStr">
        <is>
          <t>1fd833d1-58ca-43e7-a7bb-862122efafb6</t>
        </is>
      </c>
      <c r="B376" s="8" t="inlineStr">
        <is>
          <t>Split</t>
        </is>
      </c>
      <c r="C376" s="8" t="inlineStr">
        <is>
          <t>Stallions Esports</t>
        </is>
      </c>
      <c r="D376" s="8" t="inlineStr">
        <is>
          <t>GX</t>
        </is>
      </c>
      <c r="E376" s="8" t="inlineStr">
        <is>
          <t>Fade,Omen,Raze,Viper,Yoru</t>
        </is>
      </c>
      <c r="F376" s="8" t="inlineStr">
        <is>
          <t>Fade,Omen,Raze,Viper,Yoru</t>
        </is>
      </c>
      <c r="G376" s="8" t="n">
        <v>6</v>
      </c>
      <c r="H376" s="8" t="n">
        <v>13</v>
      </c>
      <c r="I376" s="8" t="n">
        <v>4</v>
      </c>
      <c r="J376" s="8" t="n">
        <v>8</v>
      </c>
      <c r="K376" s="8" t="n">
        <v>0</v>
      </c>
      <c r="L376" s="8" t="n">
        <v>0</v>
      </c>
      <c r="M376" s="8" t="n">
        <v>4</v>
      </c>
      <c r="N376" s="8" t="n">
        <v>8</v>
      </c>
      <c r="O376" s="8" t="n">
        <v>2</v>
      </c>
      <c r="P376" s="8" t="n">
        <v>5</v>
      </c>
      <c r="Q376" s="8" t="inlineStr">
        <is>
          <t>2026-02-20</t>
        </is>
      </c>
      <c r="R376" s="8" t="inlineStr">
        <is>
          <t>GX</t>
        </is>
      </c>
      <c r="S376" s="8" t="inlineStr">
        <is>
          <t>Split_Fade,Omen,Raze,Viper,Yoru</t>
        </is>
      </c>
    </row>
    <row r="377">
      <c r="A377" s="12" t="inlineStr">
        <is>
          <t>eeb600ff-948b-4463-b4b0-87a24b8c50e8</t>
        </is>
      </c>
      <c r="B377" s="12" t="inlineStr">
        <is>
          <t>Bind</t>
        </is>
      </c>
      <c r="C377" s="12" t="inlineStr">
        <is>
          <t>Stallions Esports</t>
        </is>
      </c>
      <c r="D377" s="12" t="inlineStr">
        <is>
          <t>EP</t>
        </is>
      </c>
      <c r="E377" s="12" t="inlineStr">
        <is>
          <t>Brimstone,Fade,Raze,Viper,Yoru</t>
        </is>
      </c>
      <c r="F377" s="12" t="inlineStr">
        <is>
          <t>Brimstone,Fade,Raze,Viper,Yoru</t>
        </is>
      </c>
      <c r="G377" s="12" t="n">
        <v>16</v>
      </c>
      <c r="H377" s="12" t="n">
        <v>14</v>
      </c>
      <c r="I377" s="12" t="n">
        <v>9</v>
      </c>
      <c r="J377" s="12" t="n">
        <v>3</v>
      </c>
      <c r="K377" s="12" t="n">
        <v>1</v>
      </c>
      <c r="L377" s="12" t="n">
        <v>0</v>
      </c>
      <c r="M377" s="12" t="n">
        <v>12</v>
      </c>
      <c r="N377" s="12" t="n">
        <v>3</v>
      </c>
      <c r="O377" s="12" t="n">
        <v>4</v>
      </c>
      <c r="P377" s="12" t="n">
        <v>11</v>
      </c>
      <c r="Q377" s="12" t="inlineStr">
        <is>
          <t>2026-02-19</t>
        </is>
      </c>
      <c r="R377" s="12" t="inlineStr">
        <is>
          <t>Stallions Esports</t>
        </is>
      </c>
      <c r="S377" s="12" t="inlineStr">
        <is>
          <t>Bind_Brimstone,Fade,Raze,Viper,Yoru</t>
        </is>
      </c>
    </row>
    <row r="378">
      <c r="A378" s="8" t="inlineStr">
        <is>
          <t>e282b443-1e6f-4d05-8ec8-7b7233447e22</t>
        </is>
      </c>
      <c r="B378" s="8" t="inlineStr">
        <is>
          <t>Split</t>
        </is>
      </c>
      <c r="C378" s="8" t="inlineStr">
        <is>
          <t>Stallions Esports</t>
        </is>
      </c>
      <c r="D378" s="8" t="inlineStr">
        <is>
          <t>EP</t>
        </is>
      </c>
      <c r="E378" s="8" t="inlineStr">
        <is>
          <t>Fade,Omen,Raze,Viper,Yoru</t>
        </is>
      </c>
      <c r="F378" s="8" t="inlineStr">
        <is>
          <t>Omen,Tejo,Viper,Waylay,Yoru</t>
        </is>
      </c>
      <c r="G378" s="8" t="n">
        <v>13</v>
      </c>
      <c r="H378" s="8" t="n">
        <v>11</v>
      </c>
      <c r="I378" s="8" t="n">
        <v>5</v>
      </c>
      <c r="J378" s="8" t="n">
        <v>7</v>
      </c>
      <c r="K378" s="8" t="n">
        <v>0</v>
      </c>
      <c r="L378" s="8" t="n">
        <v>0</v>
      </c>
      <c r="M378" s="8" t="n">
        <v>5</v>
      </c>
      <c r="N378" s="8" t="n">
        <v>7</v>
      </c>
      <c r="O378" s="8" t="n">
        <v>8</v>
      </c>
      <c r="P378" s="8" t="n">
        <v>4</v>
      </c>
      <c r="Q378" s="8" t="inlineStr">
        <is>
          <t>2026-02-19</t>
        </is>
      </c>
      <c r="R378" s="8" t="inlineStr">
        <is>
          <t>Stallions Esports</t>
        </is>
      </c>
      <c r="S378" s="8" t="inlineStr">
        <is>
          <t>Split_Fade,Omen,Raze,Viper,Yoru</t>
        </is>
      </c>
    </row>
    <row r="379">
      <c r="A379" s="12" t="inlineStr">
        <is>
          <t>cabe37fe-13ac-40a2-8747-5ab113274a9a</t>
        </is>
      </c>
      <c r="B379" s="12" t="inlineStr">
        <is>
          <t>Corrode</t>
        </is>
      </c>
      <c r="C379" s="12" t="inlineStr">
        <is>
          <t>Stallions Esports</t>
        </is>
      </c>
      <c r="D379" s="12" t="inlineStr">
        <is>
          <t>EP</t>
        </is>
      </c>
      <c r="E379" s="12" t="inlineStr">
        <is>
          <t>Fade,Omen,Vyse,Waylay,Yoru</t>
        </is>
      </c>
      <c r="F379" s="12" t="inlineStr">
        <is>
          <t>Fade,KAY/O,Neon,Omen,Viper</t>
        </is>
      </c>
      <c r="G379" s="12" t="n">
        <v>12</v>
      </c>
      <c r="H379" s="12" t="n">
        <v>14</v>
      </c>
      <c r="I379" s="12" t="n">
        <v>6</v>
      </c>
      <c r="J379" s="12" t="n">
        <v>6</v>
      </c>
      <c r="K379" s="12" t="n">
        <v>0</v>
      </c>
      <c r="L379" s="12" t="n">
        <v>1</v>
      </c>
      <c r="M379" s="12" t="n">
        <v>6</v>
      </c>
      <c r="N379" s="12" t="n">
        <v>7</v>
      </c>
      <c r="O379" s="12" t="n">
        <v>6</v>
      </c>
      <c r="P379" s="12" t="n">
        <v>7</v>
      </c>
      <c r="Q379" s="12" t="inlineStr">
        <is>
          <t>2026-02-19</t>
        </is>
      </c>
      <c r="R379" s="12" t="inlineStr">
        <is>
          <t>EP</t>
        </is>
      </c>
      <c r="S379" s="12" t="inlineStr">
        <is>
          <t>Corrode_Fade,Omen,Vyse,Waylay,Yoru</t>
        </is>
      </c>
    </row>
    <row r="380">
      <c r="A380" s="8" t="inlineStr">
        <is>
          <t>7fd7dd09-99f7-4ce0-8ca2-d1d5204fa50e</t>
        </is>
      </c>
      <c r="B380" s="8" t="inlineStr">
        <is>
          <t>Split</t>
        </is>
      </c>
      <c r="C380" s="8" t="inlineStr">
        <is>
          <t>Stallions Esports</t>
        </is>
      </c>
      <c r="D380" s="8" t="inlineStr">
        <is>
          <t>QAD</t>
        </is>
      </c>
      <c r="E380" s="8" t="inlineStr">
        <is>
          <t>Fade,Omen,Raze,Viper,Yoru</t>
        </is>
      </c>
      <c r="F380" s="8" t="inlineStr">
        <is>
          <t>Fade,Omen,Viper,Waylay,Yoru</t>
        </is>
      </c>
      <c r="G380" s="8" t="n">
        <v>13</v>
      </c>
      <c r="H380" s="8" t="n">
        <v>11</v>
      </c>
      <c r="I380" s="8" t="n">
        <v>9</v>
      </c>
      <c r="J380" s="8" t="n">
        <v>3</v>
      </c>
      <c r="K380" s="8" t="n">
        <v>1</v>
      </c>
      <c r="L380" s="8" t="n">
        <v>0</v>
      </c>
      <c r="M380" s="8" t="n">
        <v>9</v>
      </c>
      <c r="N380" s="8" t="n">
        <v>3</v>
      </c>
      <c r="O380" s="8" t="n">
        <v>4</v>
      </c>
      <c r="P380" s="8" t="n">
        <v>8</v>
      </c>
      <c r="Q380" s="8" t="inlineStr">
        <is>
          <t>2026-02-09</t>
        </is>
      </c>
      <c r="R380" s="8" t="inlineStr">
        <is>
          <t>Stallions Esports</t>
        </is>
      </c>
      <c r="S380" s="8" t="inlineStr">
        <is>
          <t>Split_Fade,Omen,Raze,Viper,Yoru</t>
        </is>
      </c>
    </row>
    <row r="381">
      <c r="A381" s="12" t="inlineStr">
        <is>
          <t>6ba7437a-0134-47c6-b6cc-33f103a8ecaf</t>
        </is>
      </c>
      <c r="B381" s="12" t="inlineStr">
        <is>
          <t>Breeze</t>
        </is>
      </c>
      <c r="C381" s="12" t="inlineStr">
        <is>
          <t>Stallions Esports</t>
        </is>
      </c>
      <c r="D381" s="12" t="inlineStr">
        <is>
          <t>QAD</t>
        </is>
      </c>
      <c r="E381" s="12" t="inlineStr">
        <is>
          <t>Astra,Jett,Sova,Viper,Yoru</t>
        </is>
      </c>
      <c r="F381" s="12" t="inlineStr">
        <is>
          <t>Astra,Jett,Sova,Viper,Yoru</t>
        </is>
      </c>
      <c r="G381" s="12" t="n">
        <v>13</v>
      </c>
      <c r="H381" s="12" t="n">
        <v>11</v>
      </c>
      <c r="I381" s="12" t="n">
        <v>7</v>
      </c>
      <c r="J381" s="12" t="n">
        <v>5</v>
      </c>
      <c r="K381" s="12" t="n">
        <v>1</v>
      </c>
      <c r="L381" s="12" t="n">
        <v>1</v>
      </c>
      <c r="M381" s="12" t="n">
        <v>7</v>
      </c>
      <c r="N381" s="12" t="n">
        <v>5</v>
      </c>
      <c r="O381" s="12" t="n">
        <v>6</v>
      </c>
      <c r="P381" s="12" t="n">
        <v>6</v>
      </c>
      <c r="Q381" s="12" t="inlineStr">
        <is>
          <t>2026-02-09</t>
        </is>
      </c>
      <c r="R381" s="12" t="inlineStr">
        <is>
          <t>Stallions Esports</t>
        </is>
      </c>
      <c r="S381" s="12" t="inlineStr">
        <is>
          <t>Breeze_Astra,Jett,Sova,Viper,Yoru</t>
        </is>
      </c>
    </row>
    <row r="382">
      <c r="A382" s="8" t="inlineStr">
        <is>
          <t>9e70333c-ba44-452b-8544-4b9a96fe567f</t>
        </is>
      </c>
      <c r="B382" s="8" t="inlineStr">
        <is>
          <t>Corrode</t>
        </is>
      </c>
      <c r="C382" s="8" t="inlineStr">
        <is>
          <t>Stallions Esports</t>
        </is>
      </c>
      <c r="D382" s="8" t="inlineStr">
        <is>
          <t>VIL</t>
        </is>
      </c>
      <c r="E382" s="8" t="inlineStr">
        <is>
          <t>Fade,Omen,Vyse,Waylay,Yoru</t>
        </is>
      </c>
      <c r="F382" s="8" t="inlineStr">
        <is>
          <t>Chamber,Fade,Neon,Omen,Waylay</t>
        </is>
      </c>
      <c r="G382" s="8" t="n">
        <v>13</v>
      </c>
      <c r="H382" s="8" t="n">
        <v>8</v>
      </c>
      <c r="I382" s="8" t="n">
        <v>8</v>
      </c>
      <c r="J382" s="8" t="n">
        <v>4</v>
      </c>
      <c r="K382" s="8" t="n">
        <v>0</v>
      </c>
      <c r="L382" s="8" t="n">
        <v>0</v>
      </c>
      <c r="M382" s="8" t="n">
        <v>8</v>
      </c>
      <c r="N382" s="8" t="n">
        <v>4</v>
      </c>
      <c r="O382" s="8" t="n">
        <v>5</v>
      </c>
      <c r="P382" s="8" t="n">
        <v>4</v>
      </c>
      <c r="Q382" s="8" t="inlineStr">
        <is>
          <t>2026-02-07</t>
        </is>
      </c>
      <c r="R382" s="8" t="inlineStr">
        <is>
          <t>Stallions Esports</t>
        </is>
      </c>
      <c r="S382" s="8" t="inlineStr">
        <is>
          <t>Corrode_Fade,Omen,Vyse,Waylay,Yoru</t>
        </is>
      </c>
    </row>
    <row r="383">
      <c r="A383" s="12" t="inlineStr">
        <is>
          <t>0706d9e5-7317-418d-a52b-ad0b7323a7d2</t>
        </is>
      </c>
      <c r="B383" s="12" t="inlineStr">
        <is>
          <t>Split</t>
        </is>
      </c>
      <c r="C383" s="12" t="inlineStr">
        <is>
          <t>Stallions Esports</t>
        </is>
      </c>
      <c r="D383" s="12" t="inlineStr">
        <is>
          <t>VIL</t>
        </is>
      </c>
      <c r="E383" s="12" t="inlineStr">
        <is>
          <t>Fade,Omen,Raze,Viper,Yoru</t>
        </is>
      </c>
      <c r="F383" s="12" t="inlineStr">
        <is>
          <t>Fade,Neon,Omen,Sage,Waylay</t>
        </is>
      </c>
      <c r="G383" s="12" t="n">
        <v>9</v>
      </c>
      <c r="H383" s="12" t="n">
        <v>13</v>
      </c>
      <c r="I383" s="12" t="n">
        <v>5</v>
      </c>
      <c r="J383" s="12" t="n">
        <v>7</v>
      </c>
      <c r="K383" s="12" t="n">
        <v>0</v>
      </c>
      <c r="L383" s="12" t="n">
        <v>0</v>
      </c>
      <c r="M383" s="12" t="n">
        <v>5</v>
      </c>
      <c r="N383" s="12" t="n">
        <v>7</v>
      </c>
      <c r="O383" s="12" t="n">
        <v>4</v>
      </c>
      <c r="P383" s="12" t="n">
        <v>6</v>
      </c>
      <c r="Q383" s="12" t="inlineStr">
        <is>
          <t>2026-02-07</t>
        </is>
      </c>
      <c r="R383" s="12" t="inlineStr">
        <is>
          <t>VIL</t>
        </is>
      </c>
      <c r="S383" s="12" t="inlineStr">
        <is>
          <t>Split_Fade,Omen,Raze,Viper,Yoru</t>
        </is>
      </c>
    </row>
    <row r="384">
      <c r="A384" s="8" t="inlineStr">
        <is>
          <t>f3391f50-89d4-488c-9573-30866911eede</t>
        </is>
      </c>
      <c r="B384" s="8" t="inlineStr">
        <is>
          <t>Abyss</t>
        </is>
      </c>
      <c r="C384" s="8" t="inlineStr">
        <is>
          <t>Stallions Esports</t>
        </is>
      </c>
      <c r="D384" s="8" t="inlineStr">
        <is>
          <t>VIL</t>
        </is>
      </c>
      <c r="E384" s="8" t="inlineStr">
        <is>
          <t>Astra,Cypher,Sova,Waylay,Yoru</t>
        </is>
      </c>
      <c r="F384" s="8" t="inlineStr">
        <is>
          <t>Astra,Chamber,Jett,Sova,Waylay</t>
        </is>
      </c>
      <c r="G384" s="8" t="n">
        <v>13</v>
      </c>
      <c r="H384" s="8" t="n">
        <v>11</v>
      </c>
      <c r="I384" s="8" t="n">
        <v>3</v>
      </c>
      <c r="J384" s="8" t="n">
        <v>9</v>
      </c>
      <c r="K384" s="8" t="n">
        <v>1</v>
      </c>
      <c r="L384" s="8" t="n">
        <v>0</v>
      </c>
      <c r="M384" s="8" t="n">
        <v>10</v>
      </c>
      <c r="N384" s="8" t="n">
        <v>2</v>
      </c>
      <c r="O384" s="8" t="n">
        <v>3</v>
      </c>
      <c r="P384" s="8" t="n">
        <v>9</v>
      </c>
      <c r="Q384" s="8" t="inlineStr">
        <is>
          <t>2026-02-07</t>
        </is>
      </c>
      <c r="R384" s="8" t="inlineStr">
        <is>
          <t>Stallions Esports</t>
        </is>
      </c>
      <c r="S384" s="8" t="inlineStr">
        <is>
          <t>Abyss_Astra,Cypher,Sova,Waylay,Yoru</t>
        </is>
      </c>
    </row>
    <row r="385">
      <c r="A385" s="12" t="inlineStr">
        <is>
          <t>db8e4070-68aa-4112-923b-3801a5a6989f</t>
        </is>
      </c>
      <c r="B385" s="12" t="inlineStr">
        <is>
          <t>Abyss</t>
        </is>
      </c>
      <c r="C385" s="12" t="inlineStr">
        <is>
          <t>Stallions Esports</t>
        </is>
      </c>
      <c r="D385" s="12" t="inlineStr">
        <is>
          <t>HWL</t>
        </is>
      </c>
      <c r="E385" s="12" t="inlineStr">
        <is>
          <t>Astra,Cypher,Sova,Waylay,Yoru</t>
        </is>
      </c>
      <c r="F385" s="12" t="inlineStr">
        <is>
          <t>Astra,Chamber,Jett,Sova,Yoru</t>
        </is>
      </c>
      <c r="G385" s="12" t="n">
        <v>13</v>
      </c>
      <c r="H385" s="12" t="n">
        <v>1</v>
      </c>
      <c r="I385" s="12" t="n">
        <v>11</v>
      </c>
      <c r="J385" s="12" t="n">
        <v>1</v>
      </c>
      <c r="K385" s="12" t="n">
        <v>1</v>
      </c>
      <c r="L385" s="12" t="n">
        <v>1</v>
      </c>
      <c r="M385" s="12" t="n">
        <v>11</v>
      </c>
      <c r="N385" s="12" t="n">
        <v>1</v>
      </c>
      <c r="O385" s="12" t="n">
        <v>2</v>
      </c>
      <c r="P385" s="12" t="n">
        <v>0</v>
      </c>
      <c r="Q385" s="12" t="inlineStr">
        <is>
          <t>2026-01-31</t>
        </is>
      </c>
      <c r="R385" s="12" t="inlineStr">
        <is>
          <t>Stallions Esports</t>
        </is>
      </c>
      <c r="S385" s="12" t="inlineStr">
        <is>
          <t>Abyss_Astra,Cypher,Sova,Waylay,Yoru</t>
        </is>
      </c>
    </row>
    <row r="386">
      <c r="A386" s="8" t="inlineStr">
        <is>
          <t>1734df86-65fc-4922-b274-58585fe83c78</t>
        </is>
      </c>
      <c r="B386" s="8" t="inlineStr">
        <is>
          <t>Corrode</t>
        </is>
      </c>
      <c r="C386" s="8" t="inlineStr">
        <is>
          <t>Stallions Esports</t>
        </is>
      </c>
      <c r="D386" s="8" t="inlineStr">
        <is>
          <t>HWL</t>
        </is>
      </c>
      <c r="E386" s="8" t="inlineStr">
        <is>
          <t>Fade,Omen,Vyse,Waylay,Yoru</t>
        </is>
      </c>
      <c r="F386" s="8" t="inlineStr">
        <is>
          <t>Fade,Neon,Omen,Vyse,Waylay</t>
        </is>
      </c>
      <c r="G386" s="8" t="n">
        <v>13</v>
      </c>
      <c r="H386" s="8" t="n">
        <v>4</v>
      </c>
      <c r="I386" s="8" t="n">
        <v>8</v>
      </c>
      <c r="J386" s="8" t="n">
        <v>4</v>
      </c>
      <c r="K386" s="8" t="n">
        <v>1</v>
      </c>
      <c r="L386" s="8" t="n">
        <v>1</v>
      </c>
      <c r="M386" s="8" t="n">
        <v>5</v>
      </c>
      <c r="N386" s="8" t="n">
        <v>0</v>
      </c>
      <c r="O386" s="8" t="n">
        <v>8</v>
      </c>
      <c r="P386" s="8" t="n">
        <v>4</v>
      </c>
      <c r="Q386" s="8" t="inlineStr">
        <is>
          <t>2026-01-31</t>
        </is>
      </c>
      <c r="R386" s="8" t="inlineStr">
        <is>
          <t>Stallions Esports</t>
        </is>
      </c>
      <c r="S386" s="8" t="inlineStr">
        <is>
          <t>Corrode_Fade,Omen,Vyse,Waylay,Yoru</t>
        </is>
      </c>
    </row>
    <row r="387">
      <c r="A387" s="12" t="inlineStr">
        <is>
          <t>b572814b-82c3-45dc-bd5d-c28d1725ec68</t>
        </is>
      </c>
      <c r="B387" s="12" t="inlineStr">
        <is>
          <t>Split</t>
        </is>
      </c>
      <c r="C387" s="12" t="inlineStr">
        <is>
          <t>Stallions Esports</t>
        </is>
      </c>
      <c r="D387" s="12" t="inlineStr">
        <is>
          <t>FRG</t>
        </is>
      </c>
      <c r="E387" s="12" t="inlineStr">
        <is>
          <t>Fade,Omen,Raze,Viper,Yoru</t>
        </is>
      </c>
      <c r="F387" s="12" t="inlineStr">
        <is>
          <t>Astra,Killjoy,Raze,Sage,Skye</t>
        </is>
      </c>
      <c r="G387" s="12" t="n">
        <v>13</v>
      </c>
      <c r="H387" s="12" t="n">
        <v>10</v>
      </c>
      <c r="I387" s="12" t="n">
        <v>5</v>
      </c>
      <c r="J387" s="12" t="n">
        <v>7</v>
      </c>
      <c r="K387" s="12" t="n">
        <v>0</v>
      </c>
      <c r="L387" s="12" t="n">
        <v>1</v>
      </c>
      <c r="M387" s="12" t="n">
        <v>5</v>
      </c>
      <c r="N387" s="12" t="n">
        <v>7</v>
      </c>
      <c r="O387" s="12" t="n">
        <v>8</v>
      </c>
      <c r="P387" s="12" t="n">
        <v>3</v>
      </c>
      <c r="Q387" s="12" t="inlineStr">
        <is>
          <t>2026-01-24</t>
        </is>
      </c>
      <c r="R387" s="12" t="inlineStr">
        <is>
          <t>Stallions Esports</t>
        </is>
      </c>
      <c r="S387" s="12" t="inlineStr">
        <is>
          <t>Split_Fade,Omen,Raze,Viper,Yoru</t>
        </is>
      </c>
    </row>
    <row r="388">
      <c r="A388" s="8" t="inlineStr">
        <is>
          <t>44f4cd0c-d260-4438-9e57-a9904fc9b4b3</t>
        </is>
      </c>
      <c r="B388" s="8" t="inlineStr">
        <is>
          <t>Abyss</t>
        </is>
      </c>
      <c r="C388" s="8" t="inlineStr">
        <is>
          <t>Stallions Esports</t>
        </is>
      </c>
      <c r="D388" s="8" t="inlineStr">
        <is>
          <t>FRG</t>
        </is>
      </c>
      <c r="E388" s="8" t="inlineStr">
        <is>
          <t>Astra,Cypher,Sova,Waylay,Yoru</t>
        </is>
      </c>
      <c r="F388" s="8" t="inlineStr">
        <is>
          <t>Astra,Breach,Jett,Sova,Waylay</t>
        </is>
      </c>
      <c r="G388" s="8" t="n">
        <v>13</v>
      </c>
      <c r="H388" s="8" t="n">
        <v>8</v>
      </c>
      <c r="I388" s="8" t="n">
        <v>7</v>
      </c>
      <c r="J388" s="8" t="n">
        <v>5</v>
      </c>
      <c r="K388" s="8" t="n">
        <v>0</v>
      </c>
      <c r="L388" s="8" t="n">
        <v>0</v>
      </c>
      <c r="M388" s="8" t="n">
        <v>7</v>
      </c>
      <c r="N388" s="8" t="n">
        <v>5</v>
      </c>
      <c r="O388" s="8" t="n">
        <v>6</v>
      </c>
      <c r="P388" s="8" t="n">
        <v>3</v>
      </c>
      <c r="Q388" s="8" t="inlineStr">
        <is>
          <t>2026-01-24</t>
        </is>
      </c>
      <c r="R388" s="8" t="inlineStr">
        <is>
          <t>Stallions Esports</t>
        </is>
      </c>
      <c r="S388" s="8" t="inlineStr">
        <is>
          <t>Abyss_Astra,Cypher,Sova,Waylay,Yoru</t>
        </is>
      </c>
    </row>
    <row r="389">
      <c r="A389" s="12" t="inlineStr">
        <is>
          <t>f0b104ae-ee7b-40a1-9c4f-fbe693ed43dc</t>
        </is>
      </c>
      <c r="B389" s="12" t="inlineStr">
        <is>
          <t>Bind</t>
        </is>
      </c>
      <c r="C389" s="12" t="inlineStr">
        <is>
          <t>Stallions Esports</t>
        </is>
      </c>
      <c r="D389" s="12" t="inlineStr">
        <is>
          <t>FRG</t>
        </is>
      </c>
      <c r="E389" s="12" t="inlineStr">
        <is>
          <t>Brimstone,Fade,Raze,Tejo,Viper</t>
        </is>
      </c>
      <c r="F389" s="12" t="inlineStr">
        <is>
          <t>Astra,Chamber,Jett,Raze,Skye</t>
        </is>
      </c>
      <c r="G389" s="12" t="n">
        <v>10</v>
      </c>
      <c r="H389" s="12" t="n">
        <v>13</v>
      </c>
      <c r="I389" s="12" t="n">
        <v>6</v>
      </c>
      <c r="J389" s="12" t="n">
        <v>6</v>
      </c>
      <c r="K389" s="12" t="n">
        <v>0</v>
      </c>
      <c r="L389" s="12" t="n">
        <v>1</v>
      </c>
      <c r="M389" s="12" t="n">
        <v>4</v>
      </c>
      <c r="N389" s="12" t="n">
        <v>7</v>
      </c>
      <c r="O389" s="12" t="n">
        <v>6</v>
      </c>
      <c r="P389" s="12" t="n">
        <v>6</v>
      </c>
      <c r="Q389" s="12" t="inlineStr">
        <is>
          <t>2026-01-24</t>
        </is>
      </c>
      <c r="R389" s="12" t="inlineStr">
        <is>
          <t>FRG</t>
        </is>
      </c>
      <c r="S389" s="12" t="inlineStr">
        <is>
          <t>Bind_Brimstone,Fade,Raze,Tejo,Viper</t>
        </is>
      </c>
    </row>
    <row r="390">
      <c r="A390" s="8" t="inlineStr">
        <is>
          <t>338bca2c-cab5-4c03-8c61-1906cb5bbf4b</t>
        </is>
      </c>
      <c r="B390" s="8" t="inlineStr">
        <is>
          <t>Ascent</t>
        </is>
      </c>
      <c r="C390" s="8" t="inlineStr">
        <is>
          <t>Stallions Esports</t>
        </is>
      </c>
      <c r="D390" s="8" t="inlineStr">
        <is>
          <t>FRG</t>
        </is>
      </c>
      <c r="E390" s="8" t="inlineStr">
        <is>
          <t>Jett,Omen,Reyna,Viper,Yoru</t>
        </is>
      </c>
      <c r="F390" s="8" t="inlineStr">
        <is>
          <t>Raze,Reyna,Sage,Tejo,Yoru</t>
        </is>
      </c>
      <c r="G390" s="8" t="n">
        <v>13</v>
      </c>
      <c r="H390" s="8" t="n">
        <v>0</v>
      </c>
      <c r="I390" s="8" t="n">
        <v>12</v>
      </c>
      <c r="J390" s="8" t="n">
        <v>0</v>
      </c>
      <c r="K390" s="8" t="n">
        <v>1</v>
      </c>
      <c r="L390" s="8" t="n">
        <v>1</v>
      </c>
      <c r="M390" s="8" t="n">
        <v>12</v>
      </c>
      <c r="N390" s="8" t="n">
        <v>0</v>
      </c>
      <c r="O390" s="8" t="n">
        <v>1</v>
      </c>
      <c r="P390" s="8" t="n">
        <v>0</v>
      </c>
      <c r="Q390" s="8" t="inlineStr">
        <is>
          <t>2026-01-24</t>
        </is>
      </c>
      <c r="R390" s="8" t="inlineStr">
        <is>
          <t>Stallions Esports</t>
        </is>
      </c>
      <c r="S390" s="8" t="inlineStr">
        <is>
          <t>Ascent_Jett,Omen,Reyna,Viper,Yoru</t>
        </is>
      </c>
    </row>
    <row r="391">
      <c r="A391" s="12" t="inlineStr">
        <is>
          <t>fca22e95-9bf2-44ad-9671-5b3f76f1b618</t>
        </is>
      </c>
      <c r="B391" s="12" t="inlineStr">
        <is>
          <t>Bind</t>
        </is>
      </c>
      <c r="C391" s="12" t="inlineStr">
        <is>
          <t>Stallions Esports</t>
        </is>
      </c>
      <c r="D391" s="12" t="inlineStr">
        <is>
          <t>YN</t>
        </is>
      </c>
      <c r="E391" s="12" t="inlineStr">
        <is>
          <t>Brimstone,Fade,Raze,Tejo,Viper</t>
        </is>
      </c>
      <c r="F391" s="12" t="inlineStr">
        <is>
          <t>Brimstone,Cypher,Fade,Raze,Yoru</t>
        </is>
      </c>
      <c r="G391" s="12" t="n">
        <v>13</v>
      </c>
      <c r="H391" s="12" t="n">
        <v>9</v>
      </c>
      <c r="I391" s="12" t="n">
        <v>7</v>
      </c>
      <c r="J391" s="12" t="n">
        <v>5</v>
      </c>
      <c r="K391" s="12" t="n">
        <v>0</v>
      </c>
      <c r="L391" s="12" t="n">
        <v>1</v>
      </c>
      <c r="M391" s="12" t="n">
        <v>7</v>
      </c>
      <c r="N391" s="12" t="n">
        <v>5</v>
      </c>
      <c r="O391" s="12" t="n">
        <v>6</v>
      </c>
      <c r="P391" s="12" t="n">
        <v>4</v>
      </c>
      <c r="Q391" s="12" t="inlineStr">
        <is>
          <t>2026-01-17</t>
        </is>
      </c>
      <c r="R391" s="12" t="inlineStr">
        <is>
          <t>Stallions Esports</t>
        </is>
      </c>
      <c r="S391" s="12" t="inlineStr">
        <is>
          <t>Bind_Brimstone,Fade,Raze,Tejo,Viper</t>
        </is>
      </c>
    </row>
    <row r="392">
      <c r="A392" s="8" t="inlineStr">
        <is>
          <t>b8c89723-d36b-495a-8ee3-4299176c0ae6</t>
        </is>
      </c>
      <c r="B392" s="8" t="inlineStr">
        <is>
          <t>Corrode</t>
        </is>
      </c>
      <c r="C392" s="8" t="inlineStr">
        <is>
          <t>Stallions Esports</t>
        </is>
      </c>
      <c r="D392" s="8" t="inlineStr">
        <is>
          <t>YN</t>
        </is>
      </c>
      <c r="E392" s="8" t="inlineStr">
        <is>
          <t>Fade,Omen,Vyse,Waylay,Yoru</t>
        </is>
      </c>
      <c r="F392" s="8" t="inlineStr">
        <is>
          <t>Fade,Omen,Viper,Waylay,Yoru</t>
        </is>
      </c>
      <c r="G392" s="8" t="n">
        <v>13</v>
      </c>
      <c r="H392" s="8" t="n">
        <v>4</v>
      </c>
      <c r="I392" s="8" t="n">
        <v>9</v>
      </c>
      <c r="J392" s="8" t="n">
        <v>3</v>
      </c>
      <c r="K392" s="8" t="n">
        <v>1</v>
      </c>
      <c r="L392" s="8" t="n">
        <v>1</v>
      </c>
      <c r="M392" s="8" t="n">
        <v>4</v>
      </c>
      <c r="N392" s="8" t="n">
        <v>1</v>
      </c>
      <c r="O392" s="8" t="n">
        <v>9</v>
      </c>
      <c r="P392" s="8" t="n">
        <v>3</v>
      </c>
      <c r="Q392" s="8" t="inlineStr">
        <is>
          <t>2026-01-17</t>
        </is>
      </c>
      <c r="R392" s="8" t="inlineStr">
        <is>
          <t>Stallions Esports</t>
        </is>
      </c>
      <c r="S392" s="8" t="inlineStr">
        <is>
          <t>Corrode_Fade,Omen,Vyse,Waylay,Yoru</t>
        </is>
      </c>
    </row>
    <row r="393">
      <c r="A393" s="12" t="inlineStr">
        <is>
          <t>21c719c5-df4f-4f79-89a6-46e2d11f6ac6</t>
        </is>
      </c>
      <c r="B393" s="12" t="inlineStr">
        <is>
          <t>Split</t>
        </is>
      </c>
      <c r="C393" s="12" t="inlineStr">
        <is>
          <t>Stallions Esports</t>
        </is>
      </c>
      <c r="D393" s="12" t="inlineStr">
        <is>
          <t>MYM</t>
        </is>
      </c>
      <c r="E393" s="12" t="inlineStr">
        <is>
          <t>Fade,Omen,Raze,Viper,Yoru</t>
        </is>
      </c>
      <c r="F393" s="12" t="inlineStr">
        <is>
          <t>Breach,Fade,Omen,Viper,Waylay</t>
        </is>
      </c>
      <c r="G393" s="12" t="n">
        <v>13</v>
      </c>
      <c r="H393" s="12" t="n">
        <v>8</v>
      </c>
      <c r="I393" s="12" t="n">
        <v>6</v>
      </c>
      <c r="J393" s="12" t="n">
        <v>6</v>
      </c>
      <c r="K393" s="12" t="n">
        <v>1</v>
      </c>
      <c r="L393" s="12" t="n">
        <v>1</v>
      </c>
      <c r="M393" s="12" t="n">
        <v>6</v>
      </c>
      <c r="N393" s="12" t="n">
        <v>6</v>
      </c>
      <c r="O393" s="12" t="n">
        <v>7</v>
      </c>
      <c r="P393" s="12" t="n">
        <v>2</v>
      </c>
      <c r="Q393" s="12" t="inlineStr">
        <is>
          <t>2026-01-10</t>
        </is>
      </c>
      <c r="R393" s="12" t="inlineStr">
        <is>
          <t>Stallions Esports</t>
        </is>
      </c>
      <c r="S393" s="12" t="inlineStr">
        <is>
          <t>Split_Fade,Omen,Raze,Viper,Yoru</t>
        </is>
      </c>
    </row>
    <row r="394">
      <c r="A394" s="8" t="inlineStr">
        <is>
          <t>df2e07a1-3969-4cfd-b9e8-cceb265d82bb</t>
        </is>
      </c>
      <c r="B394" s="8" t="inlineStr">
        <is>
          <t>Abyss</t>
        </is>
      </c>
      <c r="C394" s="8" t="inlineStr">
        <is>
          <t>Stallions Esports</t>
        </is>
      </c>
      <c r="D394" s="8" t="inlineStr">
        <is>
          <t>MYM</t>
        </is>
      </c>
      <c r="E394" s="8" t="inlineStr">
        <is>
          <t>Astra,Cypher,Sova,Waylay,Yoru</t>
        </is>
      </c>
      <c r="F394" s="8" t="inlineStr">
        <is>
          <t>Astra,Sova,Veto,Waylay,Yoru</t>
        </is>
      </c>
      <c r="G394" s="8" t="n">
        <v>13</v>
      </c>
      <c r="H394" s="8" t="n">
        <v>8</v>
      </c>
      <c r="I394" s="8" t="n">
        <v>4</v>
      </c>
      <c r="J394" s="8" t="n">
        <v>8</v>
      </c>
      <c r="K394" s="8" t="n">
        <v>1</v>
      </c>
      <c r="L394" s="8" t="n">
        <v>1</v>
      </c>
      <c r="M394" s="8" t="n">
        <v>9</v>
      </c>
      <c r="N394" s="8" t="n">
        <v>0</v>
      </c>
      <c r="O394" s="8" t="n">
        <v>4</v>
      </c>
      <c r="P394" s="8" t="n">
        <v>8</v>
      </c>
      <c r="Q394" s="8" t="inlineStr">
        <is>
          <t>2026-01-10</t>
        </is>
      </c>
      <c r="R394" s="8" t="inlineStr">
        <is>
          <t>Stallions Esports</t>
        </is>
      </c>
      <c r="S394" s="8" t="inlineStr">
        <is>
          <t>Abyss_Astra,Cypher,Sova,Waylay,Yoru</t>
        </is>
      </c>
    </row>
    <row r="395">
      <c r="A395" s="12" t="inlineStr">
        <is>
          <t>4c722b20-ae2a-4362-b595-2edbe0580ebc</t>
        </is>
      </c>
      <c r="B395" s="12" t="inlineStr">
        <is>
          <t>Sunset</t>
        </is>
      </c>
      <c r="C395" s="12" t="inlineStr">
        <is>
          <t>Stallions Esports</t>
        </is>
      </c>
      <c r="D395" s="12" t="inlineStr">
        <is>
          <t>NBL</t>
        </is>
      </c>
      <c r="E395" s="12" t="inlineStr">
        <is>
          <t>Breach,Cypher,Fade,Neon,Omen</t>
        </is>
      </c>
      <c r="F395" s="12" t="inlineStr">
        <is>
          <t>Cypher,Omen,Sova,Waylay,Yoru</t>
        </is>
      </c>
      <c r="G395" s="12" t="n">
        <v>13</v>
      </c>
      <c r="H395" s="12" t="n">
        <v>1</v>
      </c>
      <c r="I395" s="12" t="n">
        <v>11</v>
      </c>
      <c r="J395" s="12" t="n">
        <v>1</v>
      </c>
      <c r="K395" s="12" t="n">
        <v>1</v>
      </c>
      <c r="L395" s="12" t="n">
        <v>1</v>
      </c>
      <c r="M395" s="12" t="n">
        <v>11</v>
      </c>
      <c r="N395" s="12" t="n">
        <v>1</v>
      </c>
      <c r="O395" s="12" t="n">
        <v>2</v>
      </c>
      <c r="P395" s="12" t="n">
        <v>0</v>
      </c>
      <c r="Q395" s="12" t="inlineStr">
        <is>
          <t>2026-01-05</t>
        </is>
      </c>
      <c r="R395" s="12" t="inlineStr">
        <is>
          <t>Stallions Esports</t>
        </is>
      </c>
      <c r="S395" s="12" t="inlineStr">
        <is>
          <t>Sunset_Breach,Cypher,Fade,Neon,Omen</t>
        </is>
      </c>
    </row>
    <row r="396">
      <c r="A396" s="8" t="inlineStr">
        <is>
          <t>5e0292ae-aa94-4543-a46b-1e944583d505</t>
        </is>
      </c>
      <c r="B396" s="8" t="inlineStr">
        <is>
          <t>Corrode</t>
        </is>
      </c>
      <c r="C396" s="8" t="inlineStr">
        <is>
          <t>Stallions Esports</t>
        </is>
      </c>
      <c r="D396" s="8" t="inlineStr">
        <is>
          <t>NBL</t>
        </is>
      </c>
      <c r="E396" s="8" t="inlineStr">
        <is>
          <t>Fade,Omen,Vyse,Waylay,Yoru</t>
        </is>
      </c>
      <c r="F396" s="8" t="inlineStr">
        <is>
          <t>Fade,Omen,Viper,Waylay,Yoru</t>
        </is>
      </c>
      <c r="G396" s="8" t="n">
        <v>13</v>
      </c>
      <c r="H396" s="8" t="n">
        <v>4</v>
      </c>
      <c r="I396" s="8" t="n">
        <v>10</v>
      </c>
      <c r="J396" s="8" t="n">
        <v>2</v>
      </c>
      <c r="K396" s="8" t="n">
        <v>0</v>
      </c>
      <c r="L396" s="8" t="n">
        <v>1</v>
      </c>
      <c r="M396" s="8" t="n">
        <v>3</v>
      </c>
      <c r="N396" s="8" t="n">
        <v>2</v>
      </c>
      <c r="O396" s="8" t="n">
        <v>10</v>
      </c>
      <c r="P396" s="8" t="n">
        <v>2</v>
      </c>
      <c r="Q396" s="8" t="inlineStr">
        <is>
          <t>2026-01-05</t>
        </is>
      </c>
      <c r="R396" s="8" t="inlineStr">
        <is>
          <t>Stallions Esports</t>
        </is>
      </c>
      <c r="S396" s="8" t="inlineStr">
        <is>
          <t>Corrode_Fade,Omen,Vyse,Waylay,Yoru</t>
        </is>
      </c>
    </row>
    <row r="397">
      <c r="A397" s="12" t="inlineStr">
        <is>
          <t>59d59d3b-439b-4920-8713-9229f4e809f7</t>
        </is>
      </c>
      <c r="B397" s="12" t="inlineStr">
        <is>
          <t>Ascent</t>
        </is>
      </c>
      <c r="C397" s="12" t="inlineStr">
        <is>
          <t>Stallions Esports</t>
        </is>
      </c>
      <c r="D397" s="12" t="inlineStr">
        <is>
          <t>NBL</t>
        </is>
      </c>
      <c r="E397" s="12" t="inlineStr">
        <is>
          <t>Iso,Jett,Neon,Reyna,Sage</t>
        </is>
      </c>
      <c r="F397" s="12" t="inlineStr">
        <is>
          <t>Brimstone,Deadlock,Iso,Jett,Viper</t>
        </is>
      </c>
      <c r="G397" s="12" t="n">
        <v>13</v>
      </c>
      <c r="H397" s="12" t="n">
        <v>1</v>
      </c>
      <c r="I397" s="12" t="n">
        <v>11</v>
      </c>
      <c r="J397" s="12" t="n">
        <v>1</v>
      </c>
      <c r="K397" s="12" t="n">
        <v>0</v>
      </c>
      <c r="L397" s="12" t="n">
        <v>1</v>
      </c>
      <c r="M397" s="12" t="n">
        <v>11</v>
      </c>
      <c r="N397" s="12" t="n">
        <v>1</v>
      </c>
      <c r="O397" s="12" t="n">
        <v>2</v>
      </c>
      <c r="P397" s="12" t="n">
        <v>0</v>
      </c>
      <c r="Q397" s="12" t="inlineStr">
        <is>
          <t>2026-01-05</t>
        </is>
      </c>
      <c r="R397" s="12" t="inlineStr">
        <is>
          <t>Stallions Esports</t>
        </is>
      </c>
      <c r="S397" s="12" t="inlineStr">
        <is>
          <t>Ascent_Iso,Jett,Neon,Reyna,Sage</t>
        </is>
      </c>
    </row>
    <row r="398">
      <c r="A398" s="8" t="inlineStr">
        <is>
          <t>926c6263-9a5d-40f9-8595-e8347a69ff32</t>
        </is>
      </c>
      <c r="B398" s="8" t="inlineStr">
        <is>
          <t>Pearl</t>
        </is>
      </c>
      <c r="C398" s="8" t="inlineStr">
        <is>
          <t>GnG Amazigh</t>
        </is>
      </c>
      <c r="D398" s="8" t="inlineStr">
        <is>
          <t>1M</t>
        </is>
      </c>
      <c r="E398" s="8" t="inlineStr">
        <is>
          <t>Astra,Killjoy,Sova,Tejo,Waylay</t>
        </is>
      </c>
      <c r="F398" s="8" t="inlineStr">
        <is>
          <t>Astra,Killjoy,Sova,Tejo,Waylay</t>
        </is>
      </c>
      <c r="G398" s="8" t="n">
        <v>13</v>
      </c>
      <c r="H398" s="8" t="n">
        <v>7</v>
      </c>
      <c r="I398" s="8" t="n">
        <v>7</v>
      </c>
      <c r="J398" s="8" t="n">
        <v>5</v>
      </c>
      <c r="K398" s="8" t="n">
        <v>1</v>
      </c>
      <c r="L398" s="8" t="n">
        <v>0</v>
      </c>
      <c r="M398" s="8" t="n">
        <v>7</v>
      </c>
      <c r="N398" s="8" t="n">
        <v>5</v>
      </c>
      <c r="O398" s="8" t="n">
        <v>6</v>
      </c>
      <c r="P398" s="8" t="n">
        <v>2</v>
      </c>
      <c r="Q398" s="8" t="inlineStr">
        <is>
          <t>2026-03-07</t>
        </is>
      </c>
      <c r="R398" s="8" t="inlineStr">
        <is>
          <t>GnG Amazigh</t>
        </is>
      </c>
      <c r="S398" s="8" t="inlineStr">
        <is>
          <t>Pearl_Astra,Killjoy,Sova,Tejo,Waylay</t>
        </is>
      </c>
    </row>
    <row r="399">
      <c r="A399" s="12" t="inlineStr">
        <is>
          <t>39e33cfd-16d3-49a4-82fd-5aa18bf7d476</t>
        </is>
      </c>
      <c r="B399" s="12" t="inlineStr">
        <is>
          <t>Bind</t>
        </is>
      </c>
      <c r="C399" s="12" t="inlineStr">
        <is>
          <t>GnG Amazigh</t>
        </is>
      </c>
      <c r="D399" s="12" t="inlineStr">
        <is>
          <t>1M</t>
        </is>
      </c>
      <c r="E399" s="12" t="inlineStr">
        <is>
          <t>Brimstone,Fade,Neon,Viper,Yoru</t>
        </is>
      </c>
      <c r="F399" s="12" t="inlineStr">
        <is>
          <t>Brimstone,Fade,Viper,Waylay,Yoru</t>
        </is>
      </c>
      <c r="G399" s="12" t="n">
        <v>8</v>
      </c>
      <c r="H399" s="12" t="n">
        <v>13</v>
      </c>
      <c r="I399" s="12" t="n">
        <v>5</v>
      </c>
      <c r="J399" s="12" t="n">
        <v>7</v>
      </c>
      <c r="K399" s="12" t="n">
        <v>0</v>
      </c>
      <c r="L399" s="12" t="n">
        <v>1</v>
      </c>
      <c r="M399" s="12" t="n">
        <v>5</v>
      </c>
      <c r="N399" s="12" t="n">
        <v>7</v>
      </c>
      <c r="O399" s="12" t="n">
        <v>3</v>
      </c>
      <c r="P399" s="12" t="n">
        <v>6</v>
      </c>
      <c r="Q399" s="12" t="inlineStr">
        <is>
          <t>2026-03-07</t>
        </is>
      </c>
      <c r="R399" s="12" t="inlineStr">
        <is>
          <t>1M</t>
        </is>
      </c>
      <c r="S399" s="12" t="inlineStr">
        <is>
          <t>Bind_Brimstone,Fade,Neon,Viper,Yoru</t>
        </is>
      </c>
    </row>
    <row r="400">
      <c r="A400" s="8" t="inlineStr">
        <is>
          <t>5b779280-2443-4a5b-bbd0-6a2ba198adae</t>
        </is>
      </c>
      <c r="B400" s="8" t="inlineStr">
        <is>
          <t>Corrode</t>
        </is>
      </c>
      <c r="C400" s="8" t="inlineStr">
        <is>
          <t>GnG Amazigh</t>
        </is>
      </c>
      <c r="D400" s="8" t="inlineStr">
        <is>
          <t>1M</t>
        </is>
      </c>
      <c r="E400" s="8" t="inlineStr">
        <is>
          <t>KAY/O,Omen,Sova,Viper,Waylay</t>
        </is>
      </c>
      <c r="F400" s="8" t="inlineStr">
        <is>
          <t>Brimstone,KAY/O,Sova,Viper,Waylay</t>
        </is>
      </c>
      <c r="G400" s="8" t="n">
        <v>8</v>
      </c>
      <c r="H400" s="8" t="n">
        <v>13</v>
      </c>
      <c r="I400" s="8" t="n">
        <v>7</v>
      </c>
      <c r="J400" s="8" t="n">
        <v>5</v>
      </c>
      <c r="K400" s="8" t="n">
        <v>0</v>
      </c>
      <c r="L400" s="8" t="n">
        <v>0</v>
      </c>
      <c r="M400" s="8" t="n">
        <v>1</v>
      </c>
      <c r="N400" s="8" t="n">
        <v>8</v>
      </c>
      <c r="O400" s="8" t="n">
        <v>7</v>
      </c>
      <c r="P400" s="8" t="n">
        <v>5</v>
      </c>
      <c r="Q400" s="8" t="inlineStr">
        <is>
          <t>2026-03-07</t>
        </is>
      </c>
      <c r="R400" s="8" t="inlineStr">
        <is>
          <t>1M</t>
        </is>
      </c>
      <c r="S400" s="8" t="inlineStr">
        <is>
          <t>Corrode_KAY/O,Omen,Sova,Viper,Waylay</t>
        </is>
      </c>
    </row>
    <row r="401">
      <c r="A401" s="12" t="inlineStr">
        <is>
          <t>203fcf04-1195-4fe6-baab-13953c79190b</t>
        </is>
      </c>
      <c r="B401" s="12" t="inlineStr">
        <is>
          <t>Split</t>
        </is>
      </c>
      <c r="C401" s="12" t="inlineStr">
        <is>
          <t>GnG Amazigh</t>
        </is>
      </c>
      <c r="D401" s="12" t="inlineStr">
        <is>
          <t>1M</t>
        </is>
      </c>
      <c r="E401" s="12" t="inlineStr">
        <is>
          <t>Astra,Fade,Neon,Viper,Waylay</t>
        </is>
      </c>
      <c r="F401" s="12" t="inlineStr">
        <is>
          <t>Astra,Fade,Neon,Viper,Waylay</t>
        </is>
      </c>
      <c r="G401" s="12" t="n">
        <v>13</v>
      </c>
      <c r="H401" s="12" t="n">
        <v>5</v>
      </c>
      <c r="I401" s="12" t="n">
        <v>8</v>
      </c>
      <c r="J401" s="12" t="n">
        <v>4</v>
      </c>
      <c r="K401" s="12" t="n">
        <v>1</v>
      </c>
      <c r="L401" s="12" t="n">
        <v>0</v>
      </c>
      <c r="M401" s="12" t="n">
        <v>8</v>
      </c>
      <c r="N401" s="12" t="n">
        <v>4</v>
      </c>
      <c r="O401" s="12" t="n">
        <v>5</v>
      </c>
      <c r="P401" s="12" t="n">
        <v>1</v>
      </c>
      <c r="Q401" s="12" t="inlineStr">
        <is>
          <t>2026-03-07</t>
        </is>
      </c>
      <c r="R401" s="12" t="inlineStr">
        <is>
          <t>GnG Amazigh</t>
        </is>
      </c>
      <c r="S401" s="12" t="inlineStr">
        <is>
          <t>Split_Astra,Fade,Neon,Viper,Waylay</t>
        </is>
      </c>
    </row>
    <row r="402">
      <c r="A402" s="8" t="inlineStr">
        <is>
          <t>b2fae8e2-cd12-4f9d-87f7-0da021c998c7</t>
        </is>
      </c>
      <c r="B402" s="8" t="inlineStr">
        <is>
          <t>Abyss</t>
        </is>
      </c>
      <c r="C402" s="8" t="inlineStr">
        <is>
          <t>GnG Amazigh</t>
        </is>
      </c>
      <c r="D402" s="8" t="inlineStr">
        <is>
          <t>1M</t>
        </is>
      </c>
      <c r="E402" s="8" t="inlineStr">
        <is>
          <t>Astra,Breach,Jett,Neon,Sova</t>
        </is>
      </c>
      <c r="F402" s="8" t="inlineStr">
        <is>
          <t>Omen,Sova,Tejo,Viper,Waylay</t>
        </is>
      </c>
      <c r="G402" s="8" t="n">
        <v>13</v>
      </c>
      <c r="H402" s="8" t="n">
        <v>2</v>
      </c>
      <c r="I402" s="8" t="n">
        <v>10</v>
      </c>
      <c r="J402" s="8" t="n">
        <v>2</v>
      </c>
      <c r="K402" s="8" t="n">
        <v>1</v>
      </c>
      <c r="L402" s="8" t="n">
        <v>1</v>
      </c>
      <c r="M402" s="8" t="n">
        <v>10</v>
      </c>
      <c r="N402" s="8" t="n">
        <v>2</v>
      </c>
      <c r="O402" s="8" t="n">
        <v>3</v>
      </c>
      <c r="P402" s="8" t="n">
        <v>0</v>
      </c>
      <c r="Q402" s="8" t="inlineStr">
        <is>
          <t>2026-03-07</t>
        </is>
      </c>
      <c r="R402" s="8" t="inlineStr">
        <is>
          <t>GnG Amazigh</t>
        </is>
      </c>
      <c r="S402" s="8" t="inlineStr">
        <is>
          <t>Abyss_Astra,Breach,Jett,Neon,Sova</t>
        </is>
      </c>
    </row>
    <row r="403">
      <c r="A403" s="12" t="inlineStr">
        <is>
          <t>7f5c8105-2bc5-4352-be3f-6bbdd75f2948</t>
        </is>
      </c>
      <c r="B403" s="12" t="inlineStr">
        <is>
          <t>Ascent</t>
        </is>
      </c>
      <c r="C403" s="12" t="inlineStr">
        <is>
          <t>GnG Amazigh</t>
        </is>
      </c>
      <c r="D403" s="12" t="inlineStr">
        <is>
          <t>1M</t>
        </is>
      </c>
      <c r="E403" s="12" t="inlineStr">
        <is>
          <t>Iso,Neon,Reyna,Sage,Waylay</t>
        </is>
      </c>
      <c r="F403" s="12" t="inlineStr">
        <is>
          <t>Iso,Jett,Neon,Omen,Reyna</t>
        </is>
      </c>
      <c r="G403" s="12" t="n">
        <v>9</v>
      </c>
      <c r="H403" s="12" t="n">
        <v>13</v>
      </c>
      <c r="I403" s="12" t="n">
        <v>9</v>
      </c>
      <c r="J403" s="12" t="n">
        <v>3</v>
      </c>
      <c r="K403" s="12" t="n">
        <v>1</v>
      </c>
      <c r="L403" s="12" t="n">
        <v>0</v>
      </c>
      <c r="M403" s="12" t="n">
        <v>9</v>
      </c>
      <c r="N403" s="12" t="n">
        <v>3</v>
      </c>
      <c r="O403" s="12" t="n">
        <v>0</v>
      </c>
      <c r="P403" s="12" t="n">
        <v>10</v>
      </c>
      <c r="Q403" s="12" t="inlineStr">
        <is>
          <t>2026-03-07</t>
        </is>
      </c>
      <c r="R403" s="12" t="inlineStr">
        <is>
          <t>1M</t>
        </is>
      </c>
      <c r="S403" s="12" t="inlineStr">
        <is>
          <t>Ascent_Iso,Neon,Reyna,Sage,Waylay</t>
        </is>
      </c>
    </row>
    <row r="404">
      <c r="A404" s="8" t="inlineStr">
        <is>
          <t>bd868d81-24e7-4a42-b6f8-592484be8c42</t>
        </is>
      </c>
      <c r="B404" s="8" t="inlineStr">
        <is>
          <t>Bind</t>
        </is>
      </c>
      <c r="C404" s="8" t="inlineStr">
        <is>
          <t>GnG Amazigh</t>
        </is>
      </c>
      <c r="D404" s="8" t="inlineStr">
        <is>
          <t>GLS</t>
        </is>
      </c>
      <c r="E404" s="8" t="inlineStr">
        <is>
          <t>Brimstone,Fade,Neon,Viper,Yoru</t>
        </is>
      </c>
      <c r="F404" s="8" t="inlineStr">
        <is>
          <t>Astra,Fade,Viper,Waylay,Yoru</t>
        </is>
      </c>
      <c r="G404" s="8" t="n">
        <v>13</v>
      </c>
      <c r="H404" s="8" t="n">
        <v>6</v>
      </c>
      <c r="I404" s="8" t="n">
        <v>9</v>
      </c>
      <c r="J404" s="8" t="n">
        <v>3</v>
      </c>
      <c r="K404" s="8" t="n">
        <v>1</v>
      </c>
      <c r="L404" s="8" t="n">
        <v>1</v>
      </c>
      <c r="M404" s="8" t="n">
        <v>9</v>
      </c>
      <c r="N404" s="8" t="n">
        <v>3</v>
      </c>
      <c r="O404" s="8" t="n">
        <v>4</v>
      </c>
      <c r="P404" s="8" t="n">
        <v>3</v>
      </c>
      <c r="Q404" s="8" t="inlineStr">
        <is>
          <t>2026-03-05</t>
        </is>
      </c>
      <c r="R404" s="8" t="inlineStr">
        <is>
          <t>GnG Amazigh</t>
        </is>
      </c>
      <c r="S404" s="8" t="inlineStr">
        <is>
          <t>Bind_Brimstone,Fade,Neon,Viper,Yoru</t>
        </is>
      </c>
    </row>
    <row r="405">
      <c r="A405" s="12" t="inlineStr">
        <is>
          <t>5ccd6ccb-3f64-4932-9d86-341796a47b69</t>
        </is>
      </c>
      <c r="B405" s="12" t="inlineStr">
        <is>
          <t>Haven</t>
        </is>
      </c>
      <c r="C405" s="12" t="inlineStr">
        <is>
          <t>GnG Amazigh</t>
        </is>
      </c>
      <c r="D405" s="12" t="inlineStr">
        <is>
          <t>GLS</t>
        </is>
      </c>
      <c r="E405" s="12" t="inlineStr">
        <is>
          <t>Killjoy,Neon,Omen,Sova,Yoru</t>
        </is>
      </c>
      <c r="F405" s="12" t="inlineStr">
        <is>
          <t>Killjoy,Omen,Sova,Waylay,Yoru</t>
        </is>
      </c>
      <c r="G405" s="12" t="n">
        <v>13</v>
      </c>
      <c r="H405" s="12" t="n">
        <v>11</v>
      </c>
      <c r="I405" s="12" t="n">
        <v>7</v>
      </c>
      <c r="J405" s="12" t="n">
        <v>5</v>
      </c>
      <c r="K405" s="12" t="n">
        <v>0</v>
      </c>
      <c r="L405" s="12" t="n">
        <v>0</v>
      </c>
      <c r="M405" s="12" t="n">
        <v>6</v>
      </c>
      <c r="N405" s="12" t="n">
        <v>6</v>
      </c>
      <c r="O405" s="12" t="n">
        <v>7</v>
      </c>
      <c r="P405" s="12" t="n">
        <v>5</v>
      </c>
      <c r="Q405" s="12" t="inlineStr">
        <is>
          <t>2026-03-05</t>
        </is>
      </c>
      <c r="R405" s="12" t="inlineStr">
        <is>
          <t>GnG Amazigh</t>
        </is>
      </c>
      <c r="S405" s="12" t="inlineStr">
        <is>
          <t>Haven_Killjoy,Neon,Omen,Sova,Yoru</t>
        </is>
      </c>
    </row>
    <row r="406">
      <c r="A406" s="8" t="inlineStr">
        <is>
          <t>5bc5ed55-72c6-4e69-a9ef-e0d32759e60e</t>
        </is>
      </c>
      <c r="B406" s="8" t="inlineStr">
        <is>
          <t>Pearl</t>
        </is>
      </c>
      <c r="C406" s="8" t="inlineStr">
        <is>
          <t>GnG Amazigh</t>
        </is>
      </c>
      <c r="D406" s="8" t="inlineStr">
        <is>
          <t>GLS</t>
        </is>
      </c>
      <c r="E406" s="8" t="inlineStr">
        <is>
          <t>Astra,Killjoy,Neon,Sova,Yoru</t>
        </is>
      </c>
      <c r="F406" s="8" t="inlineStr">
        <is>
          <t>Astra,Fade,Killjoy,Neon,Tejo</t>
        </is>
      </c>
      <c r="G406" s="8" t="n">
        <v>3</v>
      </c>
      <c r="H406" s="8" t="n">
        <v>13</v>
      </c>
      <c r="I406" s="8" t="n">
        <v>3</v>
      </c>
      <c r="J406" s="8" t="n">
        <v>9</v>
      </c>
      <c r="K406" s="8" t="n">
        <v>0</v>
      </c>
      <c r="L406" s="8" t="n">
        <v>0</v>
      </c>
      <c r="M406" s="8" t="n">
        <v>0</v>
      </c>
      <c r="N406" s="8" t="n">
        <v>4</v>
      </c>
      <c r="O406" s="8" t="n">
        <v>3</v>
      </c>
      <c r="P406" s="8" t="n">
        <v>9</v>
      </c>
      <c r="Q406" s="8" t="inlineStr">
        <is>
          <t>2026-03-05</t>
        </is>
      </c>
      <c r="R406" s="8" t="inlineStr">
        <is>
          <t>GLS</t>
        </is>
      </c>
      <c r="S406" s="8" t="inlineStr">
        <is>
          <t>Pearl_Astra,Killjoy,Neon,Sova,Yoru</t>
        </is>
      </c>
    </row>
    <row r="407">
      <c r="A407" s="12" t="inlineStr">
        <is>
          <t>b914bd71-71f1-4737-a059-fb92d2d0e85f</t>
        </is>
      </c>
      <c r="B407" s="12" t="inlineStr">
        <is>
          <t>Skirmish C</t>
        </is>
      </c>
      <c r="C407" s="12" t="inlineStr">
        <is>
          <t>GnG Amazigh</t>
        </is>
      </c>
      <c r="D407" s="12" t="inlineStr">
        <is>
          <t>???</t>
        </is>
      </c>
      <c r="E407" s="12" t="inlineStr">
        <is>
          <t>Sova,Waylay</t>
        </is>
      </c>
      <c r="F407" s="12" t="inlineStr"/>
      <c r="G407" s="12" t="n">
        <v>13</v>
      </c>
      <c r="H407" s="12" t="n">
        <v>11</v>
      </c>
      <c r="I407" s="12" t="n">
        <v>6</v>
      </c>
      <c r="J407" s="12" t="n">
        <v>6</v>
      </c>
      <c r="K407" s="12" t="n">
        <v>1</v>
      </c>
      <c r="L407" s="12" t="n">
        <v>1</v>
      </c>
      <c r="M407" s="12" t="n">
        <v>6</v>
      </c>
      <c r="N407" s="12" t="n">
        <v>6</v>
      </c>
      <c r="O407" s="12" t="n">
        <v>7</v>
      </c>
      <c r="P407" s="12" t="n">
        <v>5</v>
      </c>
      <c r="Q407" s="12" t="inlineStr">
        <is>
          <t>2026-03-05</t>
        </is>
      </c>
      <c r="R407" s="12" t="inlineStr">
        <is>
          <t>GnG Amazigh</t>
        </is>
      </c>
      <c r="S407" s="12" t="inlineStr">
        <is>
          <t>Skirmish C_Sova,Waylay</t>
        </is>
      </c>
    </row>
    <row r="408">
      <c r="A408" s="8" t="inlineStr">
        <is>
          <t>31b92ca5-abd0-4ae1-be05-7395dc46b84c</t>
        </is>
      </c>
      <c r="B408" s="8" t="inlineStr">
        <is>
          <t>Haven</t>
        </is>
      </c>
      <c r="C408" s="8" t="inlineStr">
        <is>
          <t>GnG Amazigh</t>
        </is>
      </c>
      <c r="D408" s="8" t="inlineStr">
        <is>
          <t>1M</t>
        </is>
      </c>
      <c r="E408" s="8" t="inlineStr">
        <is>
          <t>Killjoy,Neon,Omen,Sova,Yoru</t>
        </is>
      </c>
      <c r="F408" s="8" t="inlineStr">
        <is>
          <t>Killjoy,Neon,Omen,Sova,Viper</t>
        </is>
      </c>
      <c r="G408" s="8" t="n">
        <v>12</v>
      </c>
      <c r="H408" s="8" t="n">
        <v>14</v>
      </c>
      <c r="I408" s="8" t="n">
        <v>3</v>
      </c>
      <c r="J408" s="8" t="n">
        <v>9</v>
      </c>
      <c r="K408" s="8" t="n">
        <v>1</v>
      </c>
      <c r="L408" s="8" t="n">
        <v>0</v>
      </c>
      <c r="M408" s="8" t="n">
        <v>9</v>
      </c>
      <c r="N408" s="8" t="n">
        <v>4</v>
      </c>
      <c r="O408" s="8" t="n">
        <v>3</v>
      </c>
      <c r="P408" s="8" t="n">
        <v>10</v>
      </c>
      <c r="Q408" s="8" t="inlineStr">
        <is>
          <t>2026-03-04</t>
        </is>
      </c>
      <c r="R408" s="8" t="inlineStr">
        <is>
          <t>1M</t>
        </is>
      </c>
      <c r="S408" s="8" t="inlineStr">
        <is>
          <t>Haven_Killjoy,Neon,Omen,Sova,Yoru</t>
        </is>
      </c>
    </row>
    <row r="409">
      <c r="A409" s="12" t="inlineStr">
        <is>
          <t>7b133e75-04f4-4c66-923a-9c732cc6c4c6</t>
        </is>
      </c>
      <c r="B409" s="12" t="inlineStr">
        <is>
          <t>Corrode</t>
        </is>
      </c>
      <c r="C409" s="12" t="inlineStr">
        <is>
          <t>GnG Amazigh</t>
        </is>
      </c>
      <c r="D409" s="12" t="inlineStr">
        <is>
          <t>1M</t>
        </is>
      </c>
      <c r="E409" s="12" t="inlineStr">
        <is>
          <t>KAY/O,Omen,Sova,Viper,Waylay</t>
        </is>
      </c>
      <c r="F409" s="12" t="inlineStr">
        <is>
          <t>Brimstone,KAY/O,Sova,Viper,Waylay</t>
        </is>
      </c>
      <c r="G409" s="12" t="n">
        <v>6</v>
      </c>
      <c r="H409" s="12" t="n">
        <v>13</v>
      </c>
      <c r="I409" s="12" t="n">
        <v>5</v>
      </c>
      <c r="J409" s="12" t="n">
        <v>7</v>
      </c>
      <c r="K409" s="12" t="n">
        <v>0</v>
      </c>
      <c r="L409" s="12" t="n">
        <v>1</v>
      </c>
      <c r="M409" s="12" t="n">
        <v>1</v>
      </c>
      <c r="N409" s="12" t="n">
        <v>6</v>
      </c>
      <c r="O409" s="12" t="n">
        <v>5</v>
      </c>
      <c r="P409" s="12" t="n">
        <v>7</v>
      </c>
      <c r="Q409" s="12" t="inlineStr">
        <is>
          <t>2026-03-04</t>
        </is>
      </c>
      <c r="R409" s="12" t="inlineStr">
        <is>
          <t>1M</t>
        </is>
      </c>
      <c r="S409" s="12" t="inlineStr">
        <is>
          <t>Corrode_KAY/O,Omen,Sova,Viper,Waylay</t>
        </is>
      </c>
    </row>
    <row r="410">
      <c r="A410" s="8" t="inlineStr">
        <is>
          <t>df42b250-a3bb-4763-afa4-691dd3f87312</t>
        </is>
      </c>
      <c r="B410" s="8" t="inlineStr">
        <is>
          <t>Pearl</t>
        </is>
      </c>
      <c r="C410" s="8" t="inlineStr">
        <is>
          <t>GnG Amazigh</t>
        </is>
      </c>
      <c r="D410" s="8" t="inlineStr">
        <is>
          <t>GLS</t>
        </is>
      </c>
      <c r="E410" s="8" t="inlineStr">
        <is>
          <t>Astra,Killjoy,Neon,Sova,Yoru</t>
        </is>
      </c>
      <c r="F410" s="8" t="inlineStr">
        <is>
          <t>Astra,Fade,Killjoy,Neon,Tejo</t>
        </is>
      </c>
      <c r="G410" s="8" t="n">
        <v>15</v>
      </c>
      <c r="H410" s="8" t="n">
        <v>13</v>
      </c>
      <c r="I410" s="8" t="n">
        <v>3</v>
      </c>
      <c r="J410" s="8" t="n">
        <v>9</v>
      </c>
      <c r="K410" s="8" t="n">
        <v>1</v>
      </c>
      <c r="L410" s="8" t="n">
        <v>1</v>
      </c>
      <c r="M410" s="8" t="n">
        <v>11</v>
      </c>
      <c r="N410" s="8" t="n">
        <v>3</v>
      </c>
      <c r="O410" s="8" t="n">
        <v>4</v>
      </c>
      <c r="P410" s="8" t="n">
        <v>10</v>
      </c>
      <c r="Q410" s="8" t="inlineStr">
        <is>
          <t>2026-03-02</t>
        </is>
      </c>
      <c r="R410" s="8" t="inlineStr">
        <is>
          <t>GnG Amazigh</t>
        </is>
      </c>
      <c r="S410" s="8" t="inlineStr">
        <is>
          <t>Pearl_Astra,Killjoy,Neon,Sova,Yoru</t>
        </is>
      </c>
    </row>
    <row r="411">
      <c r="A411" s="12" t="inlineStr">
        <is>
          <t>624231ff-ba81-4175-965e-2280717d213b</t>
        </is>
      </c>
      <c r="B411" s="12" t="inlineStr">
        <is>
          <t>Haven</t>
        </is>
      </c>
      <c r="C411" s="12" t="inlineStr">
        <is>
          <t>GnG Amazigh</t>
        </is>
      </c>
      <c r="D411" s="12" t="inlineStr">
        <is>
          <t>GLS</t>
        </is>
      </c>
      <c r="E411" s="12" t="inlineStr">
        <is>
          <t>Killjoy,Neon,Omen,Sova,Yoru</t>
        </is>
      </c>
      <c r="F411" s="12" t="inlineStr">
        <is>
          <t>Killjoy,Omen,Sova,Waylay,Yoru</t>
        </is>
      </c>
      <c r="G411" s="12" t="n">
        <v>13</v>
      </c>
      <c r="H411" s="12" t="n">
        <v>7</v>
      </c>
      <c r="I411" s="12" t="n">
        <v>7</v>
      </c>
      <c r="J411" s="12" t="n">
        <v>5</v>
      </c>
      <c r="K411" s="12" t="n">
        <v>1</v>
      </c>
      <c r="L411" s="12" t="n">
        <v>0</v>
      </c>
      <c r="M411" s="12" t="n">
        <v>6</v>
      </c>
      <c r="N411" s="12" t="n">
        <v>2</v>
      </c>
      <c r="O411" s="12" t="n">
        <v>7</v>
      </c>
      <c r="P411" s="12" t="n">
        <v>5</v>
      </c>
      <c r="Q411" s="12" t="inlineStr">
        <is>
          <t>2026-03-02</t>
        </is>
      </c>
      <c r="R411" s="12" t="inlineStr">
        <is>
          <t>GnG Amazigh</t>
        </is>
      </c>
      <c r="S411" s="12" t="inlineStr">
        <is>
          <t>Haven_Killjoy,Neon,Omen,Sova,Yoru</t>
        </is>
      </c>
    </row>
    <row r="412">
      <c r="A412" s="8" t="inlineStr">
        <is>
          <t>f0726dcc-42b2-424e-8733-f57f99caa15e</t>
        </is>
      </c>
      <c r="B412" s="8" t="inlineStr">
        <is>
          <t>Haven</t>
        </is>
      </c>
      <c r="C412" s="8" t="inlineStr">
        <is>
          <t>GnG Amazigh</t>
        </is>
      </c>
      <c r="D412" s="8" t="inlineStr">
        <is>
          <t>GLS</t>
        </is>
      </c>
      <c r="E412" s="8" t="inlineStr">
        <is>
          <t>Killjoy,Neon,Omen,Sova,Waylay</t>
        </is>
      </c>
      <c r="F412" s="8" t="inlineStr">
        <is>
          <t>Killjoy,Omen,Sova,Waylay,Yoru</t>
        </is>
      </c>
      <c r="G412" s="8" t="n">
        <v>9</v>
      </c>
      <c r="H412" s="8" t="n">
        <v>13</v>
      </c>
      <c r="I412" s="8" t="n">
        <v>5</v>
      </c>
      <c r="J412" s="8" t="n">
        <v>7</v>
      </c>
      <c r="K412" s="8" t="n">
        <v>1</v>
      </c>
      <c r="L412" s="8" t="n">
        <v>0</v>
      </c>
      <c r="M412" s="8" t="n">
        <v>5</v>
      </c>
      <c r="N412" s="8" t="n">
        <v>7</v>
      </c>
      <c r="O412" s="8" t="n">
        <v>4</v>
      </c>
      <c r="P412" s="8" t="n">
        <v>6</v>
      </c>
      <c r="Q412" s="8" t="inlineStr">
        <is>
          <t>2026-02-10</t>
        </is>
      </c>
      <c r="R412" s="8" t="inlineStr">
        <is>
          <t>GLS</t>
        </is>
      </c>
      <c r="S412" s="8" t="inlineStr">
        <is>
          <t>Haven_Killjoy,Neon,Omen,Sova,Waylay</t>
        </is>
      </c>
    </row>
    <row r="413">
      <c r="A413" s="12" t="inlineStr">
        <is>
          <t>a11c161a-94fe-4ed6-b13e-229cae0c14d2</t>
        </is>
      </c>
      <c r="B413" s="12" t="inlineStr">
        <is>
          <t>Pearl</t>
        </is>
      </c>
      <c r="C413" s="12" t="inlineStr">
        <is>
          <t>GnG Amazigh</t>
        </is>
      </c>
      <c r="D413" s="12" t="inlineStr">
        <is>
          <t>GLS</t>
        </is>
      </c>
      <c r="E413" s="12" t="inlineStr">
        <is>
          <t>Astra,Killjoy,Sova,Tejo,Waylay</t>
        </is>
      </c>
      <c r="F413" s="12" t="inlineStr">
        <is>
          <t>Astra,Fade,Killjoy,Neon,Tejo</t>
        </is>
      </c>
      <c r="G413" s="12" t="n">
        <v>5</v>
      </c>
      <c r="H413" s="12" t="n">
        <v>13</v>
      </c>
      <c r="I413" s="12" t="n">
        <v>4</v>
      </c>
      <c r="J413" s="12" t="n">
        <v>8</v>
      </c>
      <c r="K413" s="12" t="n">
        <v>1</v>
      </c>
      <c r="L413" s="12" t="n">
        <v>1</v>
      </c>
      <c r="M413" s="12" t="n">
        <v>1</v>
      </c>
      <c r="N413" s="12" t="n">
        <v>5</v>
      </c>
      <c r="O413" s="12" t="n">
        <v>4</v>
      </c>
      <c r="P413" s="12" t="n">
        <v>8</v>
      </c>
      <c r="Q413" s="12" t="inlineStr">
        <is>
          <t>2026-02-10</t>
        </is>
      </c>
      <c r="R413" s="12" t="inlineStr">
        <is>
          <t>GLS</t>
        </is>
      </c>
      <c r="S413" s="12" t="inlineStr">
        <is>
          <t>Pearl_Astra,Killjoy,Sova,Tejo,Waylay</t>
        </is>
      </c>
    </row>
    <row r="414">
      <c r="A414" s="8" t="inlineStr">
        <is>
          <t>37a56956-4db3-477d-806c-5ecb285c841a</t>
        </is>
      </c>
      <c r="B414" s="8" t="inlineStr">
        <is>
          <t>Corrode</t>
        </is>
      </c>
      <c r="C414" s="8" t="inlineStr">
        <is>
          <t>GnG Amazigh</t>
        </is>
      </c>
      <c r="D414" s="8" t="inlineStr">
        <is>
          <t>GLS</t>
        </is>
      </c>
      <c r="E414" s="8" t="inlineStr">
        <is>
          <t>KAY/O,Omen,Sova,Viper,Waylay</t>
        </is>
      </c>
      <c r="F414" s="8" t="inlineStr">
        <is>
          <t>Fade,Neon,Omen,Tejo,Viper</t>
        </is>
      </c>
      <c r="G414" s="8" t="n">
        <v>13</v>
      </c>
      <c r="H414" s="8" t="n">
        <v>10</v>
      </c>
      <c r="I414" s="8" t="n">
        <v>9</v>
      </c>
      <c r="J414" s="8" t="n">
        <v>3</v>
      </c>
      <c r="K414" s="8" t="n">
        <v>1</v>
      </c>
      <c r="L414" s="8" t="n">
        <v>1</v>
      </c>
      <c r="M414" s="8" t="n">
        <v>4</v>
      </c>
      <c r="N414" s="8" t="n">
        <v>7</v>
      </c>
      <c r="O414" s="8" t="n">
        <v>9</v>
      </c>
      <c r="P414" s="8" t="n">
        <v>3</v>
      </c>
      <c r="Q414" s="8" t="inlineStr">
        <is>
          <t>2026-02-10</t>
        </is>
      </c>
      <c r="R414" s="8" t="inlineStr">
        <is>
          <t>GnG Amazigh</t>
        </is>
      </c>
      <c r="S414" s="8" t="inlineStr">
        <is>
          <t>Corrode_KAY/O,Omen,Sova,Viper,Waylay</t>
        </is>
      </c>
    </row>
    <row r="415">
      <c r="A415" s="12" t="inlineStr">
        <is>
          <t>0c57c810-8a19-44bb-a72b-646e15d6a651</t>
        </is>
      </c>
      <c r="B415" s="12" t="inlineStr">
        <is>
          <t>Skirmish B</t>
        </is>
      </c>
      <c r="C415" s="12" t="inlineStr">
        <is>
          <t>GnG Amazigh</t>
        </is>
      </c>
      <c r="D415" s="12" t="inlineStr">
        <is>
          <t>???</t>
        </is>
      </c>
      <c r="E415" s="12" t="inlineStr">
        <is>
          <t>Astra,KAY/O</t>
        </is>
      </c>
      <c r="F415" s="12" t="inlineStr"/>
      <c r="G415" s="12" t="n">
        <v>14</v>
      </c>
      <c r="H415" s="12" t="n">
        <v>12</v>
      </c>
      <c r="I415" s="12" t="n">
        <v>7</v>
      </c>
      <c r="J415" s="12" t="n">
        <v>5</v>
      </c>
      <c r="K415" s="12" t="n">
        <v>0</v>
      </c>
      <c r="L415" s="12" t="n">
        <v>0</v>
      </c>
      <c r="M415" s="12" t="n">
        <v>8</v>
      </c>
      <c r="N415" s="12" t="n">
        <v>5</v>
      </c>
      <c r="O415" s="12" t="n">
        <v>6</v>
      </c>
      <c r="P415" s="12" t="n">
        <v>7</v>
      </c>
      <c r="Q415" s="12" t="inlineStr">
        <is>
          <t>2026-02-10</t>
        </is>
      </c>
      <c r="R415" s="12" t="inlineStr">
        <is>
          <t>GnG Amazigh</t>
        </is>
      </c>
      <c r="S415" s="12" t="inlineStr">
        <is>
          <t>Skirmish B_Astra,KAY/O</t>
        </is>
      </c>
    </row>
    <row r="416">
      <c r="A416" s="8" t="inlineStr">
        <is>
          <t>0d34e634-0c1a-44f1-a3f5-736d812475ac</t>
        </is>
      </c>
      <c r="B416" s="8" t="inlineStr">
        <is>
          <t>Bind</t>
        </is>
      </c>
      <c r="C416" s="8" t="inlineStr">
        <is>
          <t>GnG Amazigh</t>
        </is>
      </c>
      <c r="D416" s="8" t="inlineStr">
        <is>
          <t>1M</t>
        </is>
      </c>
      <c r="E416" s="8" t="inlineStr">
        <is>
          <t>Brimstone,Skye,Tejo,Viper,Waylay</t>
        </is>
      </c>
      <c r="F416" s="8" t="inlineStr">
        <is>
          <t>Brimstone,Fade,Viper,Waylay,Yoru</t>
        </is>
      </c>
      <c r="G416" s="8" t="n">
        <v>7</v>
      </c>
      <c r="H416" s="8" t="n">
        <v>13</v>
      </c>
      <c r="I416" s="8" t="n">
        <v>2</v>
      </c>
      <c r="J416" s="8" t="n">
        <v>10</v>
      </c>
      <c r="K416" s="8" t="n">
        <v>1</v>
      </c>
      <c r="L416" s="8" t="n">
        <v>0</v>
      </c>
      <c r="M416" s="8" t="n">
        <v>5</v>
      </c>
      <c r="N416" s="8" t="n">
        <v>3</v>
      </c>
      <c r="O416" s="8" t="n">
        <v>2</v>
      </c>
      <c r="P416" s="8" t="n">
        <v>10</v>
      </c>
      <c r="Q416" s="8" t="inlineStr">
        <is>
          <t>2026-02-08</t>
        </is>
      </c>
      <c r="R416" s="8" t="inlineStr">
        <is>
          <t>1M</t>
        </is>
      </c>
      <c r="S416" s="8" t="inlineStr">
        <is>
          <t>Bind_Brimstone,Skye,Tejo,Viper,Waylay</t>
        </is>
      </c>
    </row>
    <row r="417">
      <c r="A417" s="12" t="inlineStr">
        <is>
          <t>81512894-08eb-4505-99a0-51986bca9583</t>
        </is>
      </c>
      <c r="B417" s="12" t="inlineStr">
        <is>
          <t>Abyss</t>
        </is>
      </c>
      <c r="C417" s="12" t="inlineStr">
        <is>
          <t>GnG Amazigh</t>
        </is>
      </c>
      <c r="D417" s="12" t="inlineStr">
        <is>
          <t>1M</t>
        </is>
      </c>
      <c r="E417" s="12" t="inlineStr">
        <is>
          <t>Astra,Omen,Sova,Tejo,Waylay</t>
        </is>
      </c>
      <c r="F417" s="12" t="inlineStr">
        <is>
          <t>Omen,Sova,Tejo,Viper,Waylay</t>
        </is>
      </c>
      <c r="G417" s="12" t="n">
        <v>6</v>
      </c>
      <c r="H417" s="12" t="n">
        <v>13</v>
      </c>
      <c r="I417" s="12" t="n">
        <v>2</v>
      </c>
      <c r="J417" s="12" t="n">
        <v>10</v>
      </c>
      <c r="K417" s="12" t="n">
        <v>1</v>
      </c>
      <c r="L417" s="12" t="n">
        <v>0</v>
      </c>
      <c r="M417" s="12" t="n">
        <v>2</v>
      </c>
      <c r="N417" s="12" t="n">
        <v>10</v>
      </c>
      <c r="O417" s="12" t="n">
        <v>4</v>
      </c>
      <c r="P417" s="12" t="n">
        <v>3</v>
      </c>
      <c r="Q417" s="12" t="inlineStr">
        <is>
          <t>2026-02-08</t>
        </is>
      </c>
      <c r="R417" s="12" t="inlineStr">
        <is>
          <t>1M</t>
        </is>
      </c>
      <c r="S417" s="12" t="inlineStr">
        <is>
          <t>Abyss_Astra,Omen,Sova,Tejo,Waylay</t>
        </is>
      </c>
    </row>
    <row r="418">
      <c r="A418" s="8" t="inlineStr">
        <is>
          <t>a00b7de1-0078-4581-bcd4-aa9f7437571e</t>
        </is>
      </c>
      <c r="B418" s="8" t="inlineStr">
        <is>
          <t>Bind</t>
        </is>
      </c>
      <c r="C418" s="8" t="inlineStr">
        <is>
          <t>GnG Amazigh</t>
        </is>
      </c>
      <c r="D418" s="8" t="inlineStr">
        <is>
          <t>BAM</t>
        </is>
      </c>
      <c r="E418" s="8" t="inlineStr">
        <is>
          <t>Brimstone,Skye,Tejo,Viper,Waylay</t>
        </is>
      </c>
      <c r="F418" s="8" t="inlineStr">
        <is>
          <t>Astra,Breach,Fade,Viper,Yoru</t>
        </is>
      </c>
      <c r="G418" s="8" t="n">
        <v>13</v>
      </c>
      <c r="H418" s="8" t="n">
        <v>11</v>
      </c>
      <c r="I418" s="8" t="n">
        <v>5</v>
      </c>
      <c r="J418" s="8" t="n">
        <v>7</v>
      </c>
      <c r="K418" s="8" t="n">
        <v>0</v>
      </c>
      <c r="L418" s="8" t="n">
        <v>0</v>
      </c>
      <c r="M418" s="8" t="n">
        <v>8</v>
      </c>
      <c r="N418" s="8" t="n">
        <v>4</v>
      </c>
      <c r="O418" s="8" t="n">
        <v>5</v>
      </c>
      <c r="P418" s="8" t="n">
        <v>7</v>
      </c>
      <c r="Q418" s="8" t="inlineStr">
        <is>
          <t>2026-02-01</t>
        </is>
      </c>
      <c r="R418" s="8" t="inlineStr">
        <is>
          <t>GnG Amazigh</t>
        </is>
      </c>
      <c r="S418" s="8" t="inlineStr">
        <is>
          <t>Bind_Brimstone,Skye,Tejo,Viper,Waylay</t>
        </is>
      </c>
    </row>
    <row r="419">
      <c r="A419" s="12" t="inlineStr">
        <is>
          <t>05d69c8c-a0b0-4d6d-a92c-2bfa70b687c7</t>
        </is>
      </c>
      <c r="B419" s="12" t="inlineStr">
        <is>
          <t>Corrode</t>
        </is>
      </c>
      <c r="C419" s="12" t="inlineStr">
        <is>
          <t>GnG Amazigh</t>
        </is>
      </c>
      <c r="D419" s="12" t="inlineStr">
        <is>
          <t>BAM</t>
        </is>
      </c>
      <c r="E419" s="12" t="inlineStr">
        <is>
          <t>KAY/O,Omen,Sova,Viper,Waylay</t>
        </is>
      </c>
      <c r="F419" s="12" t="inlineStr">
        <is>
          <t>Fade,KAY/O,Omen,Viper,Waylay</t>
        </is>
      </c>
      <c r="G419" s="12" t="n">
        <v>13</v>
      </c>
      <c r="H419" s="12" t="n">
        <v>4</v>
      </c>
      <c r="I419" s="12" t="n">
        <v>10</v>
      </c>
      <c r="J419" s="12" t="n">
        <v>2</v>
      </c>
      <c r="K419" s="12" t="n">
        <v>1</v>
      </c>
      <c r="L419" s="12" t="n">
        <v>1</v>
      </c>
      <c r="M419" s="12" t="n">
        <v>3</v>
      </c>
      <c r="N419" s="12" t="n">
        <v>2</v>
      </c>
      <c r="O419" s="12" t="n">
        <v>10</v>
      </c>
      <c r="P419" s="12" t="n">
        <v>2</v>
      </c>
      <c r="Q419" s="12" t="inlineStr">
        <is>
          <t>2026-02-01</t>
        </is>
      </c>
      <c r="R419" s="12" t="inlineStr">
        <is>
          <t>GnG Amazigh</t>
        </is>
      </c>
      <c r="S419" s="12" t="inlineStr">
        <is>
          <t>Corrode_KAY/O,Omen,Sova,Viper,Waylay</t>
        </is>
      </c>
    </row>
    <row r="420">
      <c r="A420" s="8" t="inlineStr">
        <is>
          <t>b94acf65-035b-4f1f-9cf0-dce2083c1e76</t>
        </is>
      </c>
      <c r="B420" s="8" t="inlineStr">
        <is>
          <t>Bind</t>
        </is>
      </c>
      <c r="C420" s="8" t="inlineStr">
        <is>
          <t>GnG Amazigh</t>
        </is>
      </c>
      <c r="D420" s="8" t="inlineStr">
        <is>
          <t>GMX</t>
        </is>
      </c>
      <c r="E420" s="8" t="inlineStr">
        <is>
          <t>Brimstone,Skye,Tejo,Viper,Waylay</t>
        </is>
      </c>
      <c r="F420" s="8" t="inlineStr">
        <is>
          <t>Brimstone,Raze,Sage,Skye,Viper</t>
        </is>
      </c>
      <c r="G420" s="8" t="n">
        <v>13</v>
      </c>
      <c r="H420" s="8" t="n">
        <v>9</v>
      </c>
      <c r="I420" s="8" t="n">
        <v>4</v>
      </c>
      <c r="J420" s="8" t="n">
        <v>8</v>
      </c>
      <c r="K420" s="8" t="n">
        <v>1</v>
      </c>
      <c r="L420" s="8" t="n">
        <v>1</v>
      </c>
      <c r="M420" s="8" t="n">
        <v>4</v>
      </c>
      <c r="N420" s="8" t="n">
        <v>8</v>
      </c>
      <c r="O420" s="8" t="n">
        <v>9</v>
      </c>
      <c r="P420" s="8" t="n">
        <v>1</v>
      </c>
      <c r="Q420" s="8" t="inlineStr">
        <is>
          <t>2026-01-25</t>
        </is>
      </c>
      <c r="R420" s="8" t="inlineStr">
        <is>
          <t>GnG Amazigh</t>
        </is>
      </c>
      <c r="S420" s="8" t="inlineStr">
        <is>
          <t>Bind_Brimstone,Skye,Tejo,Viper,Waylay</t>
        </is>
      </c>
    </row>
    <row r="421">
      <c r="A421" s="12" t="inlineStr">
        <is>
          <t>710f4aa2-bb0e-42ba-8475-0914ace099fb</t>
        </is>
      </c>
      <c r="B421" s="12" t="inlineStr">
        <is>
          <t>Pearl</t>
        </is>
      </c>
      <c r="C421" s="12" t="inlineStr">
        <is>
          <t>GnG Amazigh</t>
        </is>
      </c>
      <c r="D421" s="12" t="inlineStr">
        <is>
          <t>GMX</t>
        </is>
      </c>
      <c r="E421" s="12" t="inlineStr">
        <is>
          <t>Astra,Killjoy,Sova,Tejo,Waylay</t>
        </is>
      </c>
      <c r="F421" s="12" t="inlineStr">
        <is>
          <t>Astra,Fade,Phoenix,Vyse,Yoru</t>
        </is>
      </c>
      <c r="G421" s="12" t="n">
        <v>8</v>
      </c>
      <c r="H421" s="12" t="n">
        <v>13</v>
      </c>
      <c r="I421" s="12" t="n">
        <v>6</v>
      </c>
      <c r="J421" s="12" t="n">
        <v>6</v>
      </c>
      <c r="K421" s="12" t="n">
        <v>1</v>
      </c>
      <c r="L421" s="12" t="n">
        <v>0</v>
      </c>
      <c r="M421" s="12" t="n">
        <v>6</v>
      </c>
      <c r="N421" s="12" t="n">
        <v>6</v>
      </c>
      <c r="O421" s="12" t="n">
        <v>2</v>
      </c>
      <c r="P421" s="12" t="n">
        <v>7</v>
      </c>
      <c r="Q421" s="12" t="inlineStr">
        <is>
          <t>2026-01-25</t>
        </is>
      </c>
      <c r="R421" s="12" t="inlineStr">
        <is>
          <t>GMX</t>
        </is>
      </c>
      <c r="S421" s="12" t="inlineStr">
        <is>
          <t>Pearl_Astra,Killjoy,Sova,Tejo,Waylay</t>
        </is>
      </c>
    </row>
    <row r="422">
      <c r="A422" s="8" t="inlineStr">
        <is>
          <t>6f193994-939a-42df-86ef-18c32bf4f3f9</t>
        </is>
      </c>
      <c r="B422" s="8" t="inlineStr">
        <is>
          <t>Split</t>
        </is>
      </c>
      <c r="C422" s="8" t="inlineStr">
        <is>
          <t>GnG Amazigh</t>
        </is>
      </c>
      <c r="D422" s="8" t="inlineStr">
        <is>
          <t>GMX</t>
        </is>
      </c>
      <c r="E422" s="8" t="inlineStr">
        <is>
          <t>Astra,Chamber,Skye,Viper,Waylay</t>
        </is>
      </c>
      <c r="F422" s="8" t="inlineStr">
        <is>
          <t>Breach,Fade,Omen,Viper,Waylay</t>
        </is>
      </c>
      <c r="G422" s="8" t="n">
        <v>14</v>
      </c>
      <c r="H422" s="8" t="n">
        <v>12</v>
      </c>
      <c r="I422" s="8" t="n">
        <v>6</v>
      </c>
      <c r="J422" s="8" t="n">
        <v>6</v>
      </c>
      <c r="K422" s="8" t="n">
        <v>0</v>
      </c>
      <c r="L422" s="8" t="n">
        <v>0</v>
      </c>
      <c r="M422" s="8" t="n">
        <v>7</v>
      </c>
      <c r="N422" s="8" t="n">
        <v>6</v>
      </c>
      <c r="O422" s="8" t="n">
        <v>7</v>
      </c>
      <c r="P422" s="8" t="n">
        <v>6</v>
      </c>
      <c r="Q422" s="8" t="inlineStr">
        <is>
          <t>2026-01-25</t>
        </is>
      </c>
      <c r="R422" s="8" t="inlineStr">
        <is>
          <t>GnG Amazigh</t>
        </is>
      </c>
      <c r="S422" s="8" t="inlineStr">
        <is>
          <t>Split_Astra,Chamber,Skye,Viper,Waylay</t>
        </is>
      </c>
    </row>
    <row r="423">
      <c r="A423" s="12" t="inlineStr">
        <is>
          <t>e2fb3d72-25de-40f9-a1d9-02e84a24b73b</t>
        </is>
      </c>
      <c r="B423" s="12" t="inlineStr">
        <is>
          <t>Bind</t>
        </is>
      </c>
      <c r="C423" s="12" t="inlineStr">
        <is>
          <t>GnG Amazigh</t>
        </is>
      </c>
      <c r="D423" s="12" t="inlineStr">
        <is>
          <t>RAF</t>
        </is>
      </c>
      <c r="E423" s="12" t="inlineStr">
        <is>
          <t>Brimstone,Fade,Raze,Viper,Waylay</t>
        </is>
      </c>
      <c r="F423" s="12" t="inlineStr">
        <is>
          <t>Brimstone,Skye,Tejo,Viper,Waylay</t>
        </is>
      </c>
      <c r="G423" s="12" t="n">
        <v>13</v>
      </c>
      <c r="H423" s="12" t="n">
        <v>11</v>
      </c>
      <c r="I423" s="12" t="n">
        <v>6</v>
      </c>
      <c r="J423" s="12" t="n">
        <v>6</v>
      </c>
      <c r="K423" s="12" t="n">
        <v>0</v>
      </c>
      <c r="L423" s="12" t="n">
        <v>0</v>
      </c>
      <c r="M423" s="12" t="n">
        <v>7</v>
      </c>
      <c r="N423" s="12" t="n">
        <v>5</v>
      </c>
      <c r="O423" s="12" t="n">
        <v>6</v>
      </c>
      <c r="P423" s="12" t="n">
        <v>6</v>
      </c>
      <c r="Q423" s="12" t="inlineStr">
        <is>
          <t>2026-01-18</t>
        </is>
      </c>
      <c r="R423" s="12" t="inlineStr">
        <is>
          <t>GnG Amazigh</t>
        </is>
      </c>
      <c r="S423" s="12" t="inlineStr">
        <is>
          <t>Bind_Brimstone,Fade,Raze,Viper,Waylay</t>
        </is>
      </c>
    </row>
    <row r="424">
      <c r="A424" s="8" t="inlineStr">
        <is>
          <t>2ce2caf6-b299-4ca9-9148-734a92bfc872</t>
        </is>
      </c>
      <c r="B424" s="8" t="inlineStr">
        <is>
          <t>Split</t>
        </is>
      </c>
      <c r="C424" s="8" t="inlineStr">
        <is>
          <t>GnG Amazigh</t>
        </is>
      </c>
      <c r="D424" s="8" t="inlineStr">
        <is>
          <t>RAF</t>
        </is>
      </c>
      <c r="E424" s="8" t="inlineStr">
        <is>
          <t>Astra,Raze,Skye,Viper,Waylay</t>
        </is>
      </c>
      <c r="F424" s="8" t="inlineStr">
        <is>
          <t>Omen,Skye,Tejo,Viper,Waylay</t>
        </is>
      </c>
      <c r="G424" s="8" t="n">
        <v>14</v>
      </c>
      <c r="H424" s="8" t="n">
        <v>12</v>
      </c>
      <c r="I424" s="8" t="n">
        <v>6</v>
      </c>
      <c r="J424" s="8" t="n">
        <v>6</v>
      </c>
      <c r="K424" s="8" t="n">
        <v>1</v>
      </c>
      <c r="L424" s="8" t="n">
        <v>1</v>
      </c>
      <c r="M424" s="8" t="n">
        <v>7</v>
      </c>
      <c r="N424" s="8" t="n">
        <v>6</v>
      </c>
      <c r="O424" s="8" t="n">
        <v>7</v>
      </c>
      <c r="P424" s="8" t="n">
        <v>6</v>
      </c>
      <c r="Q424" s="8" t="inlineStr">
        <is>
          <t>2026-01-18</t>
        </is>
      </c>
      <c r="R424" s="8" t="inlineStr">
        <is>
          <t>GnG Amazigh</t>
        </is>
      </c>
      <c r="S424" s="8" t="inlineStr">
        <is>
          <t>Split_Astra,Raze,Skye,Viper,Waylay</t>
        </is>
      </c>
    </row>
    <row r="425">
      <c r="A425" s="12" t="inlineStr">
        <is>
          <t>01a1653c-3b91-4c9c-8c5e-a66038b30b60</t>
        </is>
      </c>
      <c r="B425" s="12" t="inlineStr">
        <is>
          <t>Corrode</t>
        </is>
      </c>
      <c r="C425" s="12" t="inlineStr">
        <is>
          <t>GnG Amazigh</t>
        </is>
      </c>
      <c r="D425" s="12" t="inlineStr">
        <is>
          <t>RAF</t>
        </is>
      </c>
      <c r="E425" s="12" t="inlineStr">
        <is>
          <t>KAY/O,Omen,Sova,Viper,Waylay</t>
        </is>
      </c>
      <c r="F425" s="12" t="inlineStr">
        <is>
          <t>Fade,Omen,Tejo,Viper,Yoru</t>
        </is>
      </c>
      <c r="G425" s="12" t="n">
        <v>7</v>
      </c>
      <c r="H425" s="12" t="n">
        <v>13</v>
      </c>
      <c r="I425" s="12" t="n">
        <v>3</v>
      </c>
      <c r="J425" s="12" t="n">
        <v>9</v>
      </c>
      <c r="K425" s="12" t="n">
        <v>0</v>
      </c>
      <c r="L425" s="12" t="n">
        <v>0</v>
      </c>
      <c r="M425" s="12" t="n">
        <v>4</v>
      </c>
      <c r="N425" s="12" t="n">
        <v>4</v>
      </c>
      <c r="O425" s="12" t="n">
        <v>3</v>
      </c>
      <c r="P425" s="12" t="n">
        <v>9</v>
      </c>
      <c r="Q425" s="12" t="inlineStr">
        <is>
          <t>2026-01-18</t>
        </is>
      </c>
      <c r="R425" s="12" t="inlineStr">
        <is>
          <t>RAF</t>
        </is>
      </c>
      <c r="S425" s="12" t="inlineStr">
        <is>
          <t>Corrode_KAY/O,Omen,Sova,Viper,Waylay</t>
        </is>
      </c>
    </row>
    <row r="426">
      <c r="A426" s="8" t="inlineStr">
        <is>
          <t>36b23688-bd6d-41d1-bf61-b5c4b448dab6</t>
        </is>
      </c>
      <c r="B426" s="8" t="inlineStr">
        <is>
          <t>Bind</t>
        </is>
      </c>
      <c r="C426" s="8" t="inlineStr">
        <is>
          <t>GnG Amazigh</t>
        </is>
      </c>
      <c r="D426" s="8" t="inlineStr">
        <is>
          <t>RAAD</t>
        </is>
      </c>
      <c r="E426" s="8" t="inlineStr">
        <is>
          <t>Brimstone,Fade,Viper,Waylay,Yoru</t>
        </is>
      </c>
      <c r="F426" s="8" t="inlineStr">
        <is>
          <t>Brimstone,Skye,Tejo,Viper,Waylay</t>
        </is>
      </c>
      <c r="G426" s="8" t="n">
        <v>9</v>
      </c>
      <c r="H426" s="8" t="n">
        <v>13</v>
      </c>
      <c r="I426" s="8" t="n">
        <v>5</v>
      </c>
      <c r="J426" s="8" t="n">
        <v>7</v>
      </c>
      <c r="K426" s="8" t="n">
        <v>0</v>
      </c>
      <c r="L426" s="8" t="n">
        <v>0</v>
      </c>
      <c r="M426" s="8" t="n">
        <v>5</v>
      </c>
      <c r="N426" s="8" t="n">
        <v>7</v>
      </c>
      <c r="O426" s="8" t="n">
        <v>4</v>
      </c>
      <c r="P426" s="8" t="n">
        <v>6</v>
      </c>
      <c r="Q426" s="8" t="inlineStr">
        <is>
          <t>2026-01-11</t>
        </is>
      </c>
      <c r="R426" s="8" t="inlineStr">
        <is>
          <t>RAAD</t>
        </is>
      </c>
      <c r="S426" s="8" t="inlineStr">
        <is>
          <t>Bind_Brimstone,Fade,Viper,Waylay,Yoru</t>
        </is>
      </c>
    </row>
    <row r="427">
      <c r="A427" s="12" t="inlineStr">
        <is>
          <t>6f6877e5-1f34-4984-a6f2-47108adeec6b</t>
        </is>
      </c>
      <c r="B427" s="12" t="inlineStr">
        <is>
          <t>Haven</t>
        </is>
      </c>
      <c r="C427" s="12" t="inlineStr">
        <is>
          <t>GnG Amazigh</t>
        </is>
      </c>
      <c r="D427" s="12" t="inlineStr">
        <is>
          <t>RAAD</t>
        </is>
      </c>
      <c r="E427" s="12" t="inlineStr">
        <is>
          <t>Killjoy,Neon,Omen,Sova,Waylay</t>
        </is>
      </c>
      <c r="F427" s="12" t="inlineStr">
        <is>
          <t>Cypher,Omen,Sova,Waylay,Yoru</t>
        </is>
      </c>
      <c r="G427" s="12" t="n">
        <v>13</v>
      </c>
      <c r="H427" s="12" t="n">
        <v>7</v>
      </c>
      <c r="I427" s="12" t="n">
        <v>7</v>
      </c>
      <c r="J427" s="12" t="n">
        <v>5</v>
      </c>
      <c r="K427" s="12" t="n">
        <v>0</v>
      </c>
      <c r="L427" s="12" t="n">
        <v>0</v>
      </c>
      <c r="M427" s="12" t="n">
        <v>6</v>
      </c>
      <c r="N427" s="12" t="n">
        <v>2</v>
      </c>
      <c r="O427" s="12" t="n">
        <v>7</v>
      </c>
      <c r="P427" s="12" t="n">
        <v>5</v>
      </c>
      <c r="Q427" s="12" t="inlineStr">
        <is>
          <t>2026-01-11</t>
        </is>
      </c>
      <c r="R427" s="12" t="inlineStr">
        <is>
          <t>GnG Amazigh</t>
        </is>
      </c>
      <c r="S427" s="12" t="inlineStr">
        <is>
          <t>Haven_Killjoy,Neon,Omen,Sova,Waylay</t>
        </is>
      </c>
    </row>
    <row r="428">
      <c r="A428" s="8" t="inlineStr">
        <is>
          <t>c0128313-71b4-4abd-8454-fc44af33908e</t>
        </is>
      </c>
      <c r="B428" s="8" t="inlineStr">
        <is>
          <t>Abyss</t>
        </is>
      </c>
      <c r="C428" s="8" t="inlineStr">
        <is>
          <t>GnG Amazigh</t>
        </is>
      </c>
      <c r="D428" s="8" t="inlineStr">
        <is>
          <t>RAAD</t>
        </is>
      </c>
      <c r="E428" s="8" t="inlineStr">
        <is>
          <t>Astra,Sova,Vyse,Waylay,Yoru</t>
        </is>
      </c>
      <c r="F428" s="8" t="inlineStr">
        <is>
          <t>Astra,Omen,Sova,Tejo,Yoru</t>
        </is>
      </c>
      <c r="G428" s="8" t="n">
        <v>8</v>
      </c>
      <c r="H428" s="8" t="n">
        <v>13</v>
      </c>
      <c r="I428" s="8" t="n">
        <v>6</v>
      </c>
      <c r="J428" s="8" t="n">
        <v>6</v>
      </c>
      <c r="K428" s="8" t="n">
        <v>1</v>
      </c>
      <c r="L428" s="8" t="n">
        <v>0</v>
      </c>
      <c r="M428" s="8" t="n">
        <v>2</v>
      </c>
      <c r="N428" s="8" t="n">
        <v>7</v>
      </c>
      <c r="O428" s="8" t="n">
        <v>6</v>
      </c>
      <c r="P428" s="8" t="n">
        <v>6</v>
      </c>
      <c r="Q428" s="8" t="inlineStr">
        <is>
          <t>2026-01-11</t>
        </is>
      </c>
      <c r="R428" s="8" t="inlineStr">
        <is>
          <t>RAAD</t>
        </is>
      </c>
      <c r="S428" s="8" t="inlineStr">
        <is>
          <t>Abyss_Astra,Sova,Vyse,Waylay,Yoru</t>
        </is>
      </c>
    </row>
    <row r="429">
      <c r="A429" s="12" t="inlineStr">
        <is>
          <t>cd7f86b1-377b-460a-9791-596a37d91840</t>
        </is>
      </c>
      <c r="B429" s="12" t="inlineStr">
        <is>
          <t>Bind</t>
        </is>
      </c>
      <c r="C429" s="12" t="inlineStr">
        <is>
          <t>GnG Amazigh</t>
        </is>
      </c>
      <c r="D429" s="12" t="inlineStr">
        <is>
          <t>VIB</t>
        </is>
      </c>
      <c r="E429" s="12" t="inlineStr">
        <is>
          <t>Brimstone,Fade,Viper,Waylay,Yoru</t>
        </is>
      </c>
      <c r="F429" s="12" t="inlineStr">
        <is>
          <t>Brimstone,Fade,Viper,Waylay,Yoru</t>
        </is>
      </c>
      <c r="G429" s="12" t="n">
        <v>15</v>
      </c>
      <c r="H429" s="12" t="n">
        <v>13</v>
      </c>
      <c r="I429" s="12" t="n">
        <v>5</v>
      </c>
      <c r="J429" s="12" t="n">
        <v>7</v>
      </c>
      <c r="K429" s="12" t="n">
        <v>0</v>
      </c>
      <c r="L429" s="12" t="n">
        <v>1</v>
      </c>
      <c r="M429" s="12" t="n">
        <v>8</v>
      </c>
      <c r="N429" s="12" t="n">
        <v>6</v>
      </c>
      <c r="O429" s="12" t="n">
        <v>7</v>
      </c>
      <c r="P429" s="12" t="n">
        <v>7</v>
      </c>
      <c r="Q429" s="12" t="inlineStr">
        <is>
          <t>2026-01-06</t>
        </is>
      </c>
      <c r="R429" s="12" t="inlineStr">
        <is>
          <t>GnG Amazigh</t>
        </is>
      </c>
      <c r="S429" s="12" t="inlineStr">
        <is>
          <t>Bind_Brimstone,Fade,Viper,Waylay,Yoru</t>
        </is>
      </c>
    </row>
    <row r="430">
      <c r="A430" s="8" t="inlineStr">
        <is>
          <t>b04e0a35-e1ef-45e3-92cf-37eae70a02e4</t>
        </is>
      </c>
      <c r="B430" s="8" t="inlineStr">
        <is>
          <t>Haven</t>
        </is>
      </c>
      <c r="C430" s="8" t="inlineStr">
        <is>
          <t>GnG Amazigh</t>
        </is>
      </c>
      <c r="D430" s="8" t="inlineStr">
        <is>
          <t>VIB</t>
        </is>
      </c>
      <c r="E430" s="8" t="inlineStr">
        <is>
          <t>Killjoy,Neon,Omen,Sova,Waylay</t>
        </is>
      </c>
      <c r="F430" s="8" t="inlineStr">
        <is>
          <t>Killjoy,Omen,Sova,Waylay,Yoru</t>
        </is>
      </c>
      <c r="G430" s="8" t="n">
        <v>13</v>
      </c>
      <c r="H430" s="8" t="n">
        <v>11</v>
      </c>
      <c r="I430" s="8" t="n">
        <v>4</v>
      </c>
      <c r="J430" s="8" t="n">
        <v>8</v>
      </c>
      <c r="K430" s="8" t="n">
        <v>0</v>
      </c>
      <c r="L430" s="8" t="n">
        <v>0</v>
      </c>
      <c r="M430" s="8" t="n">
        <v>9</v>
      </c>
      <c r="N430" s="8" t="n">
        <v>3</v>
      </c>
      <c r="O430" s="8" t="n">
        <v>4</v>
      </c>
      <c r="P430" s="8" t="n">
        <v>8</v>
      </c>
      <c r="Q430" s="8" t="inlineStr">
        <is>
          <t>2026-01-06</t>
        </is>
      </c>
      <c r="R430" s="8" t="inlineStr">
        <is>
          <t>GnG Amazigh</t>
        </is>
      </c>
      <c r="S430" s="8" t="inlineStr">
        <is>
          <t>Haven_Killjoy,Neon,Omen,Sova,Waylay</t>
        </is>
      </c>
    </row>
    <row r="431">
      <c r="A431" s="12" t="inlineStr">
        <is>
          <t>52cc019e-2aff-4431-b54b-bc4c55eadfe0</t>
        </is>
      </c>
      <c r="B431" s="12" t="inlineStr">
        <is>
          <t>Corrode</t>
        </is>
      </c>
      <c r="C431" s="12" t="inlineStr">
        <is>
          <t>GnG Amazigh</t>
        </is>
      </c>
      <c r="D431" s="12" t="inlineStr">
        <is>
          <t>VIB</t>
        </is>
      </c>
      <c r="E431" s="12" t="inlineStr">
        <is>
          <t>KAY/O,Omen,Sova,Viper,Waylay</t>
        </is>
      </c>
      <c r="F431" s="12" t="inlineStr">
        <is>
          <t>Fade,Omen,Viper,Vyse,Waylay</t>
        </is>
      </c>
      <c r="G431" s="12" t="n">
        <v>11</v>
      </c>
      <c r="H431" s="12" t="n">
        <v>13</v>
      </c>
      <c r="I431" s="12" t="n">
        <v>4</v>
      </c>
      <c r="J431" s="12" t="n">
        <v>8</v>
      </c>
      <c r="K431" s="12" t="n">
        <v>1</v>
      </c>
      <c r="L431" s="12" t="n">
        <v>0</v>
      </c>
      <c r="M431" s="12" t="n">
        <v>4</v>
      </c>
      <c r="N431" s="12" t="n">
        <v>8</v>
      </c>
      <c r="O431" s="12" t="n">
        <v>7</v>
      </c>
      <c r="P431" s="12" t="n">
        <v>5</v>
      </c>
      <c r="Q431" s="12" t="inlineStr">
        <is>
          <t>2026-01-06</t>
        </is>
      </c>
      <c r="R431" s="12" t="inlineStr">
        <is>
          <t>VIB</t>
        </is>
      </c>
      <c r="S431" s="12" t="inlineStr">
        <is>
          <t>Corrode_KAY/O,Omen,Sova,Viper,Waylay</t>
        </is>
      </c>
    </row>
  </sheetData>
  <autoFilter ref="A1:S4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3333"/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Team</t>
        </is>
      </c>
      <c r="B1" s="4" t="inlineStr">
        <is>
          <t>Map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Win Percentage</t>
        </is>
      </c>
      <c r="F1" s="4" t="inlineStr">
        <is>
          <t>Side</t>
        </is>
      </c>
    </row>
    <row r="2">
      <c r="A2" s="8" t="inlineStr">
        <is>
          <t>Barça eSports</t>
        </is>
      </c>
      <c r="B2" s="8" t="inlineStr">
        <is>
          <t>Bind</t>
        </is>
      </c>
      <c r="C2" s="8" t="n">
        <v>0</v>
      </c>
      <c r="D2" s="8" t="n">
        <v>1</v>
      </c>
      <c r="E2" s="8" t="n">
        <v>0</v>
      </c>
      <c r="F2" s="8" t="inlineStr">
        <is>
          <t>atk</t>
        </is>
      </c>
    </row>
    <row r="3">
      <c r="A3" s="12" t="inlineStr">
        <is>
          <t>Barça eSports</t>
        </is>
      </c>
      <c r="B3" s="12" t="inlineStr">
        <is>
          <t>Bind</t>
        </is>
      </c>
      <c r="C3" s="12" t="n">
        <v>1</v>
      </c>
      <c r="D3" s="12" t="n">
        <v>1</v>
      </c>
      <c r="E3" s="12" t="n">
        <v>0.5</v>
      </c>
      <c r="F3" s="12" t="inlineStr">
        <is>
          <t>def</t>
        </is>
      </c>
    </row>
    <row r="4">
      <c r="A4" s="8" t="inlineStr">
        <is>
          <t>Barça eSports</t>
        </is>
      </c>
      <c r="B4" s="8" t="inlineStr">
        <is>
          <t>Pearl</t>
        </is>
      </c>
      <c r="C4" s="8" t="n">
        <v>0</v>
      </c>
      <c r="D4" s="8" t="n">
        <v>1</v>
      </c>
      <c r="E4" s="8" t="n">
        <v>0</v>
      </c>
      <c r="F4" s="8" t="inlineStr">
        <is>
          <t>atk</t>
        </is>
      </c>
    </row>
    <row r="5">
      <c r="A5" s="12" t="inlineStr">
        <is>
          <t>Barça eSports</t>
        </is>
      </c>
      <c r="B5" s="12" t="inlineStr">
        <is>
          <t>Split</t>
        </is>
      </c>
      <c r="C5" s="12" t="n">
        <v>0</v>
      </c>
      <c r="D5" s="12" t="n">
        <v>1</v>
      </c>
      <c r="E5" s="12" t="n">
        <v>0</v>
      </c>
      <c r="F5" s="12" t="inlineStr">
        <is>
          <t>atk</t>
        </is>
      </c>
    </row>
    <row r="6">
      <c r="A6" s="8" t="inlineStr">
        <is>
          <t>Barça eSports</t>
        </is>
      </c>
      <c r="B6" s="8" t="inlineStr">
        <is>
          <t>Split</t>
        </is>
      </c>
      <c r="C6" s="8" t="n">
        <v>2</v>
      </c>
      <c r="D6" s="8" t="n">
        <v>0</v>
      </c>
      <c r="E6" s="8" t="n">
        <v>1</v>
      </c>
      <c r="F6" s="8" t="inlineStr">
        <is>
          <t>def</t>
        </is>
      </c>
    </row>
    <row r="7">
      <c r="A7" s="12" t="inlineStr">
        <is>
          <t>Eintracht Frankfurt</t>
        </is>
      </c>
      <c r="B7" s="12" t="inlineStr">
        <is>
          <t>Abyss</t>
        </is>
      </c>
      <c r="C7" s="12" t="n">
        <v>0</v>
      </c>
      <c r="D7" s="12" t="n">
        <v>2</v>
      </c>
      <c r="E7" s="12" t="n">
        <v>0</v>
      </c>
      <c r="F7" s="12" t="inlineStr">
        <is>
          <t>def</t>
        </is>
      </c>
    </row>
    <row r="8">
      <c r="A8" s="8" t="inlineStr">
        <is>
          <t>Eintracht Frankfurt</t>
        </is>
      </c>
      <c r="B8" s="8" t="inlineStr">
        <is>
          <t>Bind</t>
        </is>
      </c>
      <c r="C8" s="8" t="n">
        <v>0</v>
      </c>
      <c r="D8" s="8" t="n">
        <v>1</v>
      </c>
      <c r="E8" s="8" t="n">
        <v>0</v>
      </c>
      <c r="F8" s="8" t="inlineStr">
        <is>
          <t>def</t>
        </is>
      </c>
    </row>
    <row r="9">
      <c r="A9" s="12" t="inlineStr">
        <is>
          <t>Eintracht Frankfurt</t>
        </is>
      </c>
      <c r="B9" s="12" t="inlineStr">
        <is>
          <t>Breeze</t>
        </is>
      </c>
      <c r="C9" s="12" t="n">
        <v>1</v>
      </c>
      <c r="D9" s="12" t="n">
        <v>0</v>
      </c>
      <c r="E9" s="12" t="n">
        <v>1</v>
      </c>
      <c r="F9" s="12" t="inlineStr">
        <is>
          <t>atk</t>
        </is>
      </c>
    </row>
    <row r="10">
      <c r="A10" s="8" t="inlineStr">
        <is>
          <t>Eintracht Frankfurt</t>
        </is>
      </c>
      <c r="B10" s="8" t="inlineStr">
        <is>
          <t>Corrode</t>
        </is>
      </c>
      <c r="C10" s="8" t="n">
        <v>0</v>
      </c>
      <c r="D10" s="8" t="n">
        <v>2</v>
      </c>
      <c r="E10" s="8" t="n">
        <v>0</v>
      </c>
      <c r="F10" s="8" t="inlineStr">
        <is>
          <t>def</t>
        </is>
      </c>
    </row>
    <row r="11">
      <c r="A11" s="12" t="inlineStr">
        <is>
          <t>Eintracht Frankfurt</t>
        </is>
      </c>
      <c r="B11" s="12" t="inlineStr">
        <is>
          <t>Pearl</t>
        </is>
      </c>
      <c r="C11" s="12" t="n">
        <v>0</v>
      </c>
      <c r="D11" s="12" t="n">
        <v>2</v>
      </c>
      <c r="E11" s="12" t="n">
        <v>0</v>
      </c>
      <c r="F11" s="12" t="inlineStr">
        <is>
          <t>def</t>
        </is>
      </c>
    </row>
    <row r="12">
      <c r="A12" s="8" t="inlineStr">
        <is>
          <t>Enterprise Esports</t>
        </is>
      </c>
      <c r="B12" s="8" t="inlineStr">
        <is>
          <t>Bind</t>
        </is>
      </c>
      <c r="C12" s="8" t="n">
        <v>2</v>
      </c>
      <c r="D12" s="8" t="n">
        <v>1</v>
      </c>
      <c r="E12" s="8" t="n">
        <v>0.67</v>
      </c>
      <c r="F12" s="8" t="inlineStr">
        <is>
          <t>def</t>
        </is>
      </c>
    </row>
    <row r="13">
      <c r="A13" s="12" t="inlineStr">
        <is>
          <t>Enterprise Esports</t>
        </is>
      </c>
      <c r="B13" s="12" t="inlineStr">
        <is>
          <t>Corrode</t>
        </is>
      </c>
      <c r="C13" s="12" t="n">
        <v>0</v>
      </c>
      <c r="D13" s="12" t="n">
        <v>1</v>
      </c>
      <c r="E13" s="12" t="n">
        <v>0</v>
      </c>
      <c r="F13" s="12" t="inlineStr">
        <is>
          <t>def</t>
        </is>
      </c>
    </row>
    <row r="14">
      <c r="A14" s="8" t="inlineStr">
        <is>
          <t>Enterprise Esports</t>
        </is>
      </c>
      <c r="B14" s="8" t="inlineStr">
        <is>
          <t>Split</t>
        </is>
      </c>
      <c r="C14" s="8" t="n">
        <v>0</v>
      </c>
      <c r="D14" s="8" t="n">
        <v>1</v>
      </c>
      <c r="E14" s="8" t="n">
        <v>0</v>
      </c>
      <c r="F14" s="8" t="inlineStr">
        <is>
          <t>def</t>
        </is>
      </c>
    </row>
    <row r="15">
      <c r="A15" s="12" t="inlineStr">
        <is>
          <t>FOKUS</t>
        </is>
      </c>
      <c r="B15" s="12" t="inlineStr">
        <is>
          <t>Abyss</t>
        </is>
      </c>
      <c r="C15" s="12" t="n">
        <v>0</v>
      </c>
      <c r="D15" s="12" t="n">
        <v>1</v>
      </c>
      <c r="E15" s="12" t="n">
        <v>0</v>
      </c>
      <c r="F15" s="12" t="inlineStr">
        <is>
          <t>atk</t>
        </is>
      </c>
    </row>
    <row r="16">
      <c r="A16" s="8" t="inlineStr">
        <is>
          <t>FOKUS</t>
        </is>
      </c>
      <c r="B16" s="8" t="inlineStr">
        <is>
          <t>Corrode</t>
        </is>
      </c>
      <c r="C16" s="8" t="n">
        <v>0</v>
      </c>
      <c r="D16" s="8" t="n">
        <v>1</v>
      </c>
      <c r="E16" s="8" t="n">
        <v>0</v>
      </c>
      <c r="F16" s="8" t="inlineStr">
        <is>
          <t>def</t>
        </is>
      </c>
    </row>
    <row r="17">
      <c r="A17" s="12" t="inlineStr">
        <is>
          <t>FOKUS</t>
        </is>
      </c>
      <c r="B17" s="12" t="inlineStr">
        <is>
          <t>Haven</t>
        </is>
      </c>
      <c r="C17" s="12" t="n">
        <v>0</v>
      </c>
      <c r="D17" s="12" t="n">
        <v>1</v>
      </c>
      <c r="E17" s="12" t="n">
        <v>0</v>
      </c>
      <c r="F17" s="12" t="inlineStr">
        <is>
          <t>def</t>
        </is>
      </c>
    </row>
    <row r="18">
      <c r="A18" s="8" t="inlineStr">
        <is>
          <t>FOKUS</t>
        </is>
      </c>
      <c r="B18" s="8" t="inlineStr">
        <is>
          <t>Split</t>
        </is>
      </c>
      <c r="C18" s="8" t="n">
        <v>0</v>
      </c>
      <c r="D18" s="8" t="n">
        <v>1</v>
      </c>
      <c r="E18" s="8" t="n">
        <v>0</v>
      </c>
      <c r="F18" s="8" t="inlineStr">
        <is>
          <t>atk</t>
        </is>
      </c>
    </row>
    <row r="19">
      <c r="A19" s="12" t="inlineStr">
        <is>
          <t>GnG Amazigh</t>
        </is>
      </c>
      <c r="B19" s="12" t="inlineStr">
        <is>
          <t>Ascent</t>
        </is>
      </c>
      <c r="C19" s="12" t="n">
        <v>0</v>
      </c>
      <c r="D19" s="12" t="n">
        <v>8</v>
      </c>
      <c r="E19" s="12" t="n">
        <v>0</v>
      </c>
      <c r="F19" s="12" t="inlineStr">
        <is>
          <t>def</t>
        </is>
      </c>
    </row>
    <row r="20">
      <c r="A20" s="8" t="inlineStr">
        <is>
          <t>GnG Amazigh</t>
        </is>
      </c>
      <c r="B20" s="8" t="inlineStr">
        <is>
          <t>Corrode</t>
        </is>
      </c>
      <c r="C20" s="8" t="n">
        <v>0</v>
      </c>
      <c r="D20" s="8" t="n">
        <v>1</v>
      </c>
      <c r="E20" s="8" t="n">
        <v>0</v>
      </c>
      <c r="F20" s="8" t="inlineStr">
        <is>
          <t>atk</t>
        </is>
      </c>
    </row>
    <row r="21">
      <c r="A21" s="12" t="inlineStr">
        <is>
          <t>GnG Amazigh</t>
        </is>
      </c>
      <c r="B21" s="12" t="inlineStr">
        <is>
          <t>Corrode</t>
        </is>
      </c>
      <c r="C21" s="12" t="n">
        <v>0</v>
      </c>
      <c r="D21" s="12" t="n">
        <v>1</v>
      </c>
      <c r="E21" s="12" t="n">
        <v>0</v>
      </c>
      <c r="F21" s="12" t="inlineStr">
        <is>
          <t>def</t>
        </is>
      </c>
    </row>
    <row r="22">
      <c r="A22" s="8" t="inlineStr">
        <is>
          <t>GnG Amazigh</t>
        </is>
      </c>
      <c r="B22" s="8" t="inlineStr">
        <is>
          <t>Pearl</t>
        </is>
      </c>
      <c r="C22" s="8" t="n">
        <v>0</v>
      </c>
      <c r="D22" s="8" t="n">
        <v>1</v>
      </c>
      <c r="E22" s="8" t="n">
        <v>0</v>
      </c>
      <c r="F22" s="8" t="inlineStr">
        <is>
          <t>def</t>
        </is>
      </c>
    </row>
    <row r="23">
      <c r="A23" s="12" t="inlineStr">
        <is>
          <t>GnG Amazigh</t>
        </is>
      </c>
      <c r="B23" s="12" t="inlineStr">
        <is>
          <t>Skirmish B</t>
        </is>
      </c>
      <c r="C23" s="12" t="n">
        <v>7</v>
      </c>
      <c r="D23" s="12" t="n">
        <v>4</v>
      </c>
      <c r="E23" s="12" t="n">
        <v>0.64</v>
      </c>
      <c r="F23" s="12" t="inlineStr">
        <is>
          <t>atk</t>
        </is>
      </c>
    </row>
    <row r="24">
      <c r="A24" s="8" t="inlineStr">
        <is>
          <t>GnG Amazigh</t>
        </is>
      </c>
      <c r="B24" s="8" t="inlineStr">
        <is>
          <t>Skirmish B</t>
        </is>
      </c>
      <c r="C24" s="8" t="n">
        <v>6</v>
      </c>
      <c r="D24" s="8" t="n">
        <v>5</v>
      </c>
      <c r="E24" s="8" t="n">
        <v>0.55</v>
      </c>
      <c r="F24" s="8" t="inlineStr">
        <is>
          <t>def</t>
        </is>
      </c>
    </row>
    <row r="25">
      <c r="A25" s="12" t="inlineStr">
        <is>
          <t>GnG Amazigh</t>
        </is>
      </c>
      <c r="B25" s="12" t="inlineStr">
        <is>
          <t>Skirmish C</t>
        </is>
      </c>
      <c r="C25" s="12" t="n">
        <v>5</v>
      </c>
      <c r="D25" s="12" t="n">
        <v>5</v>
      </c>
      <c r="E25" s="12" t="n">
        <v>0.5</v>
      </c>
      <c r="F25" s="12" t="inlineStr">
        <is>
          <t>atk</t>
        </is>
      </c>
    </row>
    <row r="26">
      <c r="A26" s="8" t="inlineStr">
        <is>
          <t>GnG Amazigh</t>
        </is>
      </c>
      <c r="B26" s="8" t="inlineStr">
        <is>
          <t>Skirmish C</t>
        </is>
      </c>
      <c r="C26" s="8" t="n">
        <v>6</v>
      </c>
      <c r="D26" s="8" t="n">
        <v>4</v>
      </c>
      <c r="E26" s="8" t="n">
        <v>0.6</v>
      </c>
      <c r="F26" s="8" t="inlineStr">
        <is>
          <t>def</t>
        </is>
      </c>
    </row>
    <row r="27">
      <c r="A27" s="12" t="inlineStr">
        <is>
          <t>Joblife</t>
        </is>
      </c>
      <c r="B27" s="12" t="inlineStr">
        <is>
          <t>Abyss</t>
        </is>
      </c>
      <c r="C27" s="12" t="n">
        <v>0</v>
      </c>
      <c r="D27" s="12" t="n">
        <v>1</v>
      </c>
      <c r="E27" s="12" t="n">
        <v>0</v>
      </c>
      <c r="F27" s="12" t="inlineStr">
        <is>
          <t>def</t>
        </is>
      </c>
    </row>
    <row r="28">
      <c r="A28" s="8" t="inlineStr">
        <is>
          <t>Joblife</t>
        </is>
      </c>
      <c r="B28" s="8" t="inlineStr">
        <is>
          <t>Ascent</t>
        </is>
      </c>
      <c r="C28" s="8" t="n">
        <v>9</v>
      </c>
      <c r="D28" s="8" t="n">
        <v>0</v>
      </c>
      <c r="E28" s="8" t="n">
        <v>1</v>
      </c>
      <c r="F28" s="8" t="inlineStr">
        <is>
          <t>atk</t>
        </is>
      </c>
    </row>
    <row r="29">
      <c r="A29" s="12" t="inlineStr">
        <is>
          <t>Joblife</t>
        </is>
      </c>
      <c r="B29" s="12" t="inlineStr">
        <is>
          <t>Ascent</t>
        </is>
      </c>
      <c r="C29" s="12" t="n">
        <v>1</v>
      </c>
      <c r="D29" s="12" t="n">
        <v>10</v>
      </c>
      <c r="E29" s="12" t="n">
        <v>0.09</v>
      </c>
      <c r="F29" s="12" t="inlineStr">
        <is>
          <t>def</t>
        </is>
      </c>
    </row>
    <row r="30">
      <c r="A30" s="8" t="inlineStr">
        <is>
          <t>Joblife</t>
        </is>
      </c>
      <c r="B30" s="8" t="inlineStr">
        <is>
          <t>Breeze</t>
        </is>
      </c>
      <c r="C30" s="8" t="n">
        <v>0</v>
      </c>
      <c r="D30" s="8" t="n">
        <v>1</v>
      </c>
      <c r="E30" s="8" t="n">
        <v>0</v>
      </c>
      <c r="F30" s="8" t="inlineStr">
        <is>
          <t>def</t>
        </is>
      </c>
    </row>
    <row r="31">
      <c r="A31" s="12" t="inlineStr">
        <is>
          <t>Mandatory</t>
        </is>
      </c>
      <c r="B31" s="12" t="inlineStr">
        <is>
          <t>Haven</t>
        </is>
      </c>
      <c r="C31" s="12" t="n">
        <v>0</v>
      </c>
      <c r="D31" s="12" t="n">
        <v>3</v>
      </c>
      <c r="E31" s="12" t="n">
        <v>0</v>
      </c>
      <c r="F31" s="12" t="inlineStr">
        <is>
          <t>def</t>
        </is>
      </c>
    </row>
    <row r="32">
      <c r="A32" s="8" t="inlineStr">
        <is>
          <t>Mandatory</t>
        </is>
      </c>
      <c r="B32" s="8" t="inlineStr">
        <is>
          <t>Pearl</t>
        </is>
      </c>
      <c r="C32" s="8" t="n">
        <v>0</v>
      </c>
      <c r="D32" s="8" t="n">
        <v>2</v>
      </c>
      <c r="E32" s="8" t="n">
        <v>0</v>
      </c>
      <c r="F32" s="8" t="inlineStr">
        <is>
          <t>def</t>
        </is>
      </c>
    </row>
    <row r="33">
      <c r="A33" s="12" t="inlineStr">
        <is>
          <t>Mandatory</t>
        </is>
      </c>
      <c r="B33" s="12" t="inlineStr">
        <is>
          <t>Split</t>
        </is>
      </c>
      <c r="C33" s="12" t="n">
        <v>0</v>
      </c>
      <c r="D33" s="12" t="n">
        <v>1</v>
      </c>
      <c r="E33" s="12" t="n">
        <v>0</v>
      </c>
      <c r="F33" s="12" t="inlineStr">
        <is>
          <t>def</t>
        </is>
      </c>
    </row>
    <row r="34">
      <c r="A34" s="8" t="inlineStr">
        <is>
          <t>Misa Esports</t>
        </is>
      </c>
      <c r="B34" s="8" t="inlineStr">
        <is>
          <t>Haven</t>
        </is>
      </c>
      <c r="C34" s="8" t="n">
        <v>0</v>
      </c>
      <c r="D34" s="8" t="n">
        <v>1</v>
      </c>
      <c r="E34" s="8" t="n">
        <v>0</v>
      </c>
      <c r="F34" s="8" t="inlineStr">
        <is>
          <t>def</t>
        </is>
      </c>
    </row>
    <row r="35">
      <c r="A35" s="12" t="inlineStr">
        <is>
          <t>Misa Esports</t>
        </is>
      </c>
      <c r="B35" s="12" t="inlineStr">
        <is>
          <t>Pearl</t>
        </is>
      </c>
      <c r="C35" s="12" t="n">
        <v>0</v>
      </c>
      <c r="D35" s="12" t="n">
        <v>1</v>
      </c>
      <c r="E35" s="12" t="n">
        <v>0</v>
      </c>
      <c r="F35" s="12" t="inlineStr">
        <is>
          <t>def</t>
        </is>
      </c>
    </row>
    <row r="36">
      <c r="A36" s="8" t="inlineStr">
        <is>
          <t>Misa Esports</t>
        </is>
      </c>
      <c r="B36" s="8" t="inlineStr">
        <is>
          <t>Split</t>
        </is>
      </c>
      <c r="C36" s="8" t="n">
        <v>0</v>
      </c>
      <c r="D36" s="8" t="n">
        <v>1</v>
      </c>
      <c r="E36" s="8" t="n">
        <v>0</v>
      </c>
      <c r="F36" s="8" t="inlineStr">
        <is>
          <t>def</t>
        </is>
      </c>
    </row>
    <row r="37">
      <c r="A37" s="12" t="inlineStr">
        <is>
          <t>Pixel Lumina</t>
        </is>
      </c>
      <c r="B37" s="12" t="inlineStr">
        <is>
          <t>Breeze</t>
        </is>
      </c>
      <c r="C37" s="12" t="n">
        <v>0</v>
      </c>
      <c r="D37" s="12" t="n">
        <v>1</v>
      </c>
      <c r="E37" s="12" t="n">
        <v>0</v>
      </c>
      <c r="F37" s="12" t="inlineStr">
        <is>
          <t>atk</t>
        </is>
      </c>
    </row>
    <row r="38">
      <c r="A38" s="8" t="inlineStr">
        <is>
          <t>S2G Esports</t>
        </is>
      </c>
      <c r="B38" s="8" t="inlineStr">
        <is>
          <t>Abyss</t>
        </is>
      </c>
      <c r="C38" s="8" t="n">
        <v>2</v>
      </c>
      <c r="D38" s="8" t="n">
        <v>1</v>
      </c>
      <c r="E38" s="8" t="n">
        <v>0.67</v>
      </c>
      <c r="F38" s="8" t="inlineStr">
        <is>
          <t>atk</t>
        </is>
      </c>
    </row>
    <row r="39">
      <c r="A39" s="12" t="inlineStr">
        <is>
          <t>S2G Esports</t>
        </is>
      </c>
      <c r="B39" s="12" t="inlineStr">
        <is>
          <t>Abyss</t>
        </is>
      </c>
      <c r="C39" s="12" t="n">
        <v>2</v>
      </c>
      <c r="D39" s="12" t="n">
        <v>0</v>
      </c>
      <c r="E39" s="12" t="n">
        <v>1</v>
      </c>
      <c r="F39" s="12" t="inlineStr">
        <is>
          <t>def</t>
        </is>
      </c>
    </row>
    <row r="40">
      <c r="A40" s="8" t="inlineStr">
        <is>
          <t>S2G Esports</t>
        </is>
      </c>
      <c r="B40" s="8" t="inlineStr">
        <is>
          <t>Breeze</t>
        </is>
      </c>
      <c r="C40" s="8" t="n">
        <v>0</v>
      </c>
      <c r="D40" s="8" t="n">
        <v>1</v>
      </c>
      <c r="E40" s="8" t="n">
        <v>0</v>
      </c>
      <c r="F40" s="8" t="inlineStr">
        <is>
          <t>atk</t>
        </is>
      </c>
    </row>
    <row r="41">
      <c r="A41" s="12" t="inlineStr">
        <is>
          <t>S2G Esports</t>
        </is>
      </c>
      <c r="B41" s="12" t="inlineStr">
        <is>
          <t>Pearl</t>
        </is>
      </c>
      <c r="C41" s="12" t="n">
        <v>0</v>
      </c>
      <c r="D41" s="12" t="n">
        <v>1</v>
      </c>
      <c r="E41" s="12" t="n">
        <v>0</v>
      </c>
      <c r="F41" s="12" t="inlineStr">
        <is>
          <t>def</t>
        </is>
      </c>
    </row>
    <row r="42">
      <c r="A42" s="8" t="inlineStr">
        <is>
          <t>Stallions Esports</t>
        </is>
      </c>
      <c r="B42" s="8" t="inlineStr">
        <is>
          <t>Ascent</t>
        </is>
      </c>
      <c r="C42" s="8" t="n">
        <v>8</v>
      </c>
      <c r="D42" s="8" t="n">
        <v>9</v>
      </c>
      <c r="E42" s="8" t="n">
        <v>0.47</v>
      </c>
      <c r="F42" s="8" t="inlineStr">
        <is>
          <t>atk</t>
        </is>
      </c>
    </row>
    <row r="43">
      <c r="A43" s="12" t="inlineStr">
        <is>
          <t>Stallions Esports</t>
        </is>
      </c>
      <c r="B43" s="12" t="inlineStr">
        <is>
          <t>Ascent</t>
        </is>
      </c>
      <c r="C43" s="12" t="n">
        <v>10</v>
      </c>
      <c r="D43" s="12" t="n">
        <v>1</v>
      </c>
      <c r="E43" s="12" t="n">
        <v>0.91</v>
      </c>
      <c r="F43" s="12" t="inlineStr">
        <is>
          <t>def</t>
        </is>
      </c>
    </row>
    <row r="44">
      <c r="A44" s="8" t="inlineStr">
        <is>
          <t>Team Liquid Academy</t>
        </is>
      </c>
      <c r="B44" s="8" t="inlineStr">
        <is>
          <t>Breeze</t>
        </is>
      </c>
      <c r="C44" s="8" t="n">
        <v>0</v>
      </c>
      <c r="D44" s="8" t="n">
        <v>2</v>
      </c>
      <c r="E44" s="8" t="n">
        <v>0</v>
      </c>
      <c r="F44" s="8" t="inlineStr">
        <is>
          <t>def</t>
        </is>
      </c>
    </row>
    <row r="45">
      <c r="A45" s="12" t="inlineStr">
        <is>
          <t>Team Liquid Academy</t>
        </is>
      </c>
      <c r="B45" s="12" t="inlineStr">
        <is>
          <t>Corrode</t>
        </is>
      </c>
      <c r="C45" s="12" t="n">
        <v>0</v>
      </c>
      <c r="D45" s="12" t="n">
        <v>1</v>
      </c>
      <c r="E45" s="12" t="n">
        <v>0</v>
      </c>
      <c r="F45" s="12" t="inlineStr">
        <is>
          <t>atk</t>
        </is>
      </c>
    </row>
    <row r="46">
      <c r="A46" s="8" t="inlineStr">
        <is>
          <t>Team Liquid Academy</t>
        </is>
      </c>
      <c r="B46" s="8" t="inlineStr">
        <is>
          <t>Corrode</t>
        </is>
      </c>
      <c r="C46" s="8" t="n">
        <v>0</v>
      </c>
      <c r="D46" s="8" t="n">
        <v>1</v>
      </c>
      <c r="E46" s="8" t="n">
        <v>0</v>
      </c>
      <c r="F46" s="8" t="inlineStr">
        <is>
          <t>def</t>
        </is>
      </c>
    </row>
    <row r="47">
      <c r="A47" s="12" t="inlineStr">
        <is>
          <t>Team Liquid Academy</t>
        </is>
      </c>
      <c r="B47" s="12" t="inlineStr">
        <is>
          <t>Haven</t>
        </is>
      </c>
      <c r="C47" s="12" t="n">
        <v>0</v>
      </c>
      <c r="D47" s="12" t="n">
        <v>1</v>
      </c>
      <c r="E47" s="12" t="n">
        <v>0</v>
      </c>
      <c r="F47" s="12" t="inlineStr">
        <is>
          <t>def</t>
        </is>
      </c>
    </row>
    <row r="48">
      <c r="A48" s="8" t="inlineStr">
        <is>
          <t>Team Liquid Academy</t>
        </is>
      </c>
      <c r="B48" s="8" t="inlineStr">
        <is>
          <t>Pearl</t>
        </is>
      </c>
      <c r="C48" s="8" t="n">
        <v>0</v>
      </c>
      <c r="D48" s="8" t="n">
        <v>1</v>
      </c>
      <c r="E48" s="8" t="n">
        <v>0</v>
      </c>
      <c r="F48" s="8" t="inlineStr">
        <is>
          <t>atk</t>
        </is>
      </c>
    </row>
    <row r="49">
      <c r="A49" s="12" t="inlineStr">
        <is>
          <t>Team Liquid Academy</t>
        </is>
      </c>
      <c r="B49" s="12" t="inlineStr">
        <is>
          <t>Pearl</t>
        </is>
      </c>
      <c r="C49" s="12" t="n">
        <v>0</v>
      </c>
      <c r="D49" s="12" t="n">
        <v>1</v>
      </c>
      <c r="E49" s="12" t="n">
        <v>0</v>
      </c>
      <c r="F49" s="12" t="inlineStr">
        <is>
          <t>def</t>
        </is>
      </c>
    </row>
    <row r="50">
      <c r="A50" s="8" t="inlineStr">
        <is>
          <t>UCAM Esports</t>
        </is>
      </c>
      <c r="B50" s="8" t="inlineStr">
        <is>
          <t>Bind</t>
        </is>
      </c>
      <c r="C50" s="8" t="n">
        <v>1</v>
      </c>
      <c r="D50" s="8" t="n">
        <v>0</v>
      </c>
      <c r="E50" s="8" t="n">
        <v>1</v>
      </c>
      <c r="F50" s="8" t="inlineStr">
        <is>
          <t>atk</t>
        </is>
      </c>
    </row>
    <row r="51">
      <c r="A51" s="12" t="inlineStr">
        <is>
          <t>UCAM Esports</t>
        </is>
      </c>
      <c r="B51" s="12" t="inlineStr">
        <is>
          <t>Corrode</t>
        </is>
      </c>
      <c r="C51" s="12" t="n">
        <v>0</v>
      </c>
      <c r="D51" s="12" t="n">
        <v>1</v>
      </c>
      <c r="E51" s="12" t="n">
        <v>0</v>
      </c>
      <c r="F51" s="12" t="inlineStr">
        <is>
          <t>atk</t>
        </is>
      </c>
    </row>
    <row r="52">
      <c r="A52" s="8" t="inlineStr">
        <is>
          <t>UCAM Esports</t>
        </is>
      </c>
      <c r="B52" s="8" t="inlineStr">
        <is>
          <t>Corrode</t>
        </is>
      </c>
      <c r="C52" s="8" t="n">
        <v>0</v>
      </c>
      <c r="D52" s="8" t="n">
        <v>1</v>
      </c>
      <c r="E52" s="8" t="n">
        <v>0</v>
      </c>
      <c r="F52" s="8" t="inlineStr">
        <is>
          <t>def</t>
        </is>
      </c>
    </row>
    <row r="53">
      <c r="A53" s="12" t="inlineStr">
        <is>
          <t>UCAM Esports</t>
        </is>
      </c>
      <c r="B53" s="12" t="inlineStr">
        <is>
          <t>Haven</t>
        </is>
      </c>
      <c r="C53" s="12" t="n">
        <v>1</v>
      </c>
      <c r="D53" s="12" t="n">
        <v>0</v>
      </c>
      <c r="E53" s="12" t="n">
        <v>1</v>
      </c>
      <c r="F53" s="12" t="inlineStr">
        <is>
          <t>atk</t>
        </is>
      </c>
    </row>
    <row r="54">
      <c r="A54" s="8" t="inlineStr">
        <is>
          <t>UCAM Esports</t>
        </is>
      </c>
      <c r="B54" s="8" t="inlineStr">
        <is>
          <t>Pearl</t>
        </is>
      </c>
      <c r="C54" s="8" t="n">
        <v>0</v>
      </c>
      <c r="D54" s="8" t="n">
        <v>1</v>
      </c>
      <c r="E54" s="8" t="n">
        <v>0</v>
      </c>
      <c r="F54" s="8" t="inlineStr">
        <is>
          <t>atk</t>
        </is>
      </c>
    </row>
    <row r="55">
      <c r="A55" s="12" t="inlineStr">
        <is>
          <t>UCAM Esports</t>
        </is>
      </c>
      <c r="B55" s="12" t="inlineStr">
        <is>
          <t>Split</t>
        </is>
      </c>
      <c r="C55" s="12" t="n">
        <v>0</v>
      </c>
      <c r="D55" s="12" t="n">
        <v>1</v>
      </c>
      <c r="E55" s="12" t="n">
        <v>0</v>
      </c>
      <c r="F55" s="12" t="inlineStr">
        <is>
          <t>atk</t>
        </is>
      </c>
    </row>
    <row r="56">
      <c r="A56" s="8" t="inlineStr">
        <is>
          <t>UCAM Esports</t>
        </is>
      </c>
      <c r="B56" s="8" t="inlineStr">
        <is>
          <t>Split</t>
        </is>
      </c>
      <c r="C56" s="8" t="n">
        <v>0</v>
      </c>
      <c r="D56" s="8" t="n">
        <v>1</v>
      </c>
      <c r="E56" s="8" t="n">
        <v>0</v>
      </c>
      <c r="F56" s="8" t="inlineStr">
        <is>
          <t>def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33333"/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Team</t>
        </is>
      </c>
      <c r="B1" s="4" t="inlineStr">
        <is>
          <t>Map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Win Percentage</t>
        </is>
      </c>
      <c r="F1" s="4" t="inlineStr">
        <is>
          <t>Side</t>
        </is>
      </c>
    </row>
    <row r="2">
      <c r="A2" s="8" t="inlineStr">
        <is>
          <t>Barça eSports</t>
        </is>
      </c>
      <c r="B2" s="8" t="inlineStr">
        <is>
          <t>Abyss</t>
        </is>
      </c>
      <c r="C2" s="8" t="n">
        <v>1</v>
      </c>
      <c r="D2" s="8" t="n">
        <v>0</v>
      </c>
      <c r="E2" s="8" t="n">
        <v>1</v>
      </c>
      <c r="F2" s="8" t="inlineStr">
        <is>
          <t>atk</t>
        </is>
      </c>
    </row>
    <row r="3">
      <c r="A3" s="12" t="inlineStr">
        <is>
          <t>Barça eSports</t>
        </is>
      </c>
      <c r="B3" s="12" t="inlineStr">
        <is>
          <t>Abyss</t>
        </is>
      </c>
      <c r="C3" s="12" t="n">
        <v>1</v>
      </c>
      <c r="D3" s="12" t="n">
        <v>0</v>
      </c>
      <c r="E3" s="12" t="n">
        <v>1</v>
      </c>
      <c r="F3" s="12" t="inlineStr">
        <is>
          <t>def</t>
        </is>
      </c>
    </row>
    <row r="4">
      <c r="A4" s="8" t="inlineStr">
        <is>
          <t>Barça eSports</t>
        </is>
      </c>
      <c r="B4" s="8" t="inlineStr">
        <is>
          <t>Bind</t>
        </is>
      </c>
      <c r="C4" s="8" t="n">
        <v>1</v>
      </c>
      <c r="D4" s="8" t="n">
        <v>4</v>
      </c>
      <c r="E4" s="8" t="n">
        <v>0.2</v>
      </c>
      <c r="F4" s="8" t="inlineStr">
        <is>
          <t>atk</t>
        </is>
      </c>
    </row>
    <row r="5">
      <c r="A5" s="12" t="inlineStr">
        <is>
          <t>Barça eSports</t>
        </is>
      </c>
      <c r="B5" s="12" t="inlineStr">
        <is>
          <t>Bind</t>
        </is>
      </c>
      <c r="C5" s="12" t="n">
        <v>4</v>
      </c>
      <c r="D5" s="12" t="n">
        <v>1</v>
      </c>
      <c r="E5" s="12" t="n">
        <v>0.8</v>
      </c>
      <c r="F5" s="12" t="inlineStr">
        <is>
          <t>def</t>
        </is>
      </c>
    </row>
    <row r="6">
      <c r="A6" s="8" t="inlineStr">
        <is>
          <t>Barça eSports</t>
        </is>
      </c>
      <c r="B6" s="8" t="inlineStr">
        <is>
          <t>Breeze</t>
        </is>
      </c>
      <c r="C6" s="8" t="n">
        <v>2</v>
      </c>
      <c r="D6" s="8" t="n">
        <v>1</v>
      </c>
      <c r="E6" s="8" t="n">
        <v>0.67</v>
      </c>
      <c r="F6" s="8" t="inlineStr">
        <is>
          <t>atk</t>
        </is>
      </c>
    </row>
    <row r="7">
      <c r="A7" s="12" t="inlineStr">
        <is>
          <t>Barça eSports</t>
        </is>
      </c>
      <c r="B7" s="12" t="inlineStr">
        <is>
          <t>Breeze</t>
        </is>
      </c>
      <c r="C7" s="12" t="n">
        <v>2</v>
      </c>
      <c r="D7" s="12" t="n">
        <v>1</v>
      </c>
      <c r="E7" s="12" t="n">
        <v>0.67</v>
      </c>
      <c r="F7" s="12" t="inlineStr">
        <is>
          <t>def</t>
        </is>
      </c>
    </row>
    <row r="8">
      <c r="A8" s="8" t="inlineStr">
        <is>
          <t>Barça eSports</t>
        </is>
      </c>
      <c r="B8" s="8" t="inlineStr">
        <is>
          <t>Corrode</t>
        </is>
      </c>
      <c r="C8" s="8" t="n">
        <v>1</v>
      </c>
      <c r="D8" s="8" t="n">
        <v>1</v>
      </c>
      <c r="E8" s="8" t="n">
        <v>0.5</v>
      </c>
      <c r="F8" s="8" t="inlineStr">
        <is>
          <t>atk</t>
        </is>
      </c>
    </row>
    <row r="9">
      <c r="A9" s="12" t="inlineStr">
        <is>
          <t>Barça eSports</t>
        </is>
      </c>
      <c r="B9" s="12" t="inlineStr">
        <is>
          <t>Corrode</t>
        </is>
      </c>
      <c r="C9" s="12" t="n">
        <v>2</v>
      </c>
      <c r="D9" s="12" t="n">
        <v>0</v>
      </c>
      <c r="E9" s="12" t="n">
        <v>1</v>
      </c>
      <c r="F9" s="12" t="inlineStr">
        <is>
          <t>def</t>
        </is>
      </c>
    </row>
    <row r="10">
      <c r="A10" s="8" t="inlineStr">
        <is>
          <t>Barça eSports</t>
        </is>
      </c>
      <c r="B10" s="8" t="inlineStr">
        <is>
          <t>Haven</t>
        </is>
      </c>
      <c r="C10" s="8" t="n">
        <v>4</v>
      </c>
      <c r="D10" s="8" t="n">
        <v>1</v>
      </c>
      <c r="E10" s="8" t="n">
        <v>0.8</v>
      </c>
      <c r="F10" s="8" t="inlineStr">
        <is>
          <t>atk</t>
        </is>
      </c>
    </row>
    <row r="11">
      <c r="A11" s="12" t="inlineStr">
        <is>
          <t>Barça eSports</t>
        </is>
      </c>
      <c r="B11" s="12" t="inlineStr">
        <is>
          <t>Haven</t>
        </is>
      </c>
      <c r="C11" s="12" t="n">
        <v>5</v>
      </c>
      <c r="D11" s="12" t="n">
        <v>0</v>
      </c>
      <c r="E11" s="12" t="n">
        <v>1</v>
      </c>
      <c r="F11" s="12" t="inlineStr">
        <is>
          <t>def</t>
        </is>
      </c>
    </row>
    <row r="12">
      <c r="A12" s="8" t="inlineStr">
        <is>
          <t>Barça eSports</t>
        </is>
      </c>
      <c r="B12" s="8" t="inlineStr">
        <is>
          <t>Pearl</t>
        </is>
      </c>
      <c r="C12" s="8" t="n">
        <v>1</v>
      </c>
      <c r="D12" s="8" t="n">
        <v>5</v>
      </c>
      <c r="E12" s="8" t="n">
        <v>0.17</v>
      </c>
      <c r="F12" s="8" t="inlineStr">
        <is>
          <t>atk</t>
        </is>
      </c>
    </row>
    <row r="13">
      <c r="A13" s="12" t="inlineStr">
        <is>
          <t>Barça eSports</t>
        </is>
      </c>
      <c r="B13" s="12" t="inlineStr">
        <is>
          <t>Pearl</t>
        </is>
      </c>
      <c r="C13" s="12" t="n">
        <v>4</v>
      </c>
      <c r="D13" s="12" t="n">
        <v>2</v>
      </c>
      <c r="E13" s="12" t="n">
        <v>0.67</v>
      </c>
      <c r="F13" s="12" t="inlineStr">
        <is>
          <t>def</t>
        </is>
      </c>
    </row>
    <row r="14">
      <c r="A14" s="8" t="inlineStr">
        <is>
          <t>Barça eSports</t>
        </is>
      </c>
      <c r="B14" s="8" t="inlineStr">
        <is>
          <t>Split</t>
        </is>
      </c>
      <c r="C14" s="8" t="n">
        <v>5</v>
      </c>
      <c r="D14" s="8" t="n">
        <v>3</v>
      </c>
      <c r="E14" s="8" t="n">
        <v>0.62</v>
      </c>
      <c r="F14" s="8" t="inlineStr">
        <is>
          <t>atk</t>
        </is>
      </c>
    </row>
    <row r="15">
      <c r="A15" s="12" t="inlineStr">
        <is>
          <t>Barça eSports</t>
        </is>
      </c>
      <c r="B15" s="12" t="inlineStr">
        <is>
          <t>Split</t>
        </is>
      </c>
      <c r="C15" s="12" t="n">
        <v>5</v>
      </c>
      <c r="D15" s="12" t="n">
        <v>3</v>
      </c>
      <c r="E15" s="12" t="n">
        <v>0.62</v>
      </c>
      <c r="F15" s="12" t="inlineStr">
        <is>
          <t>def</t>
        </is>
      </c>
    </row>
    <row r="16">
      <c r="A16" s="8" t="inlineStr">
        <is>
          <t>Eintracht Frankfurt</t>
        </is>
      </c>
      <c r="B16" s="8" t="inlineStr">
        <is>
          <t>Abyss</t>
        </is>
      </c>
      <c r="C16" s="8" t="n">
        <v>4</v>
      </c>
      <c r="D16" s="8" t="n">
        <v>3</v>
      </c>
      <c r="E16" s="8" t="n">
        <v>0.57</v>
      </c>
      <c r="F16" s="8" t="inlineStr">
        <is>
          <t>atk</t>
        </is>
      </c>
    </row>
    <row r="17">
      <c r="A17" s="12" t="inlineStr">
        <is>
          <t>Eintracht Frankfurt</t>
        </is>
      </c>
      <c r="B17" s="12" t="inlineStr">
        <is>
          <t>Abyss</t>
        </is>
      </c>
      <c r="C17" s="12" t="n">
        <v>4</v>
      </c>
      <c r="D17" s="12" t="n">
        <v>3</v>
      </c>
      <c r="E17" s="12" t="n">
        <v>0.57</v>
      </c>
      <c r="F17" s="12" t="inlineStr">
        <is>
          <t>def</t>
        </is>
      </c>
    </row>
    <row r="18">
      <c r="A18" s="8" t="inlineStr">
        <is>
          <t>Eintracht Frankfurt</t>
        </is>
      </c>
      <c r="B18" s="8" t="inlineStr">
        <is>
          <t>Bind</t>
        </is>
      </c>
      <c r="C18" s="8" t="n">
        <v>3</v>
      </c>
      <c r="D18" s="8" t="n">
        <v>5</v>
      </c>
      <c r="E18" s="8" t="n">
        <v>0.38</v>
      </c>
      <c r="F18" s="8" t="inlineStr">
        <is>
          <t>atk</t>
        </is>
      </c>
    </row>
    <row r="19">
      <c r="A19" s="12" t="inlineStr">
        <is>
          <t>Eintracht Frankfurt</t>
        </is>
      </c>
      <c r="B19" s="12" t="inlineStr">
        <is>
          <t>Bind</t>
        </is>
      </c>
      <c r="C19" s="12" t="n">
        <v>4</v>
      </c>
      <c r="D19" s="12" t="n">
        <v>4</v>
      </c>
      <c r="E19" s="12" t="n">
        <v>0.5</v>
      </c>
      <c r="F19" s="12" t="inlineStr">
        <is>
          <t>def</t>
        </is>
      </c>
    </row>
    <row r="20">
      <c r="A20" s="8" t="inlineStr">
        <is>
          <t>Eintracht Frankfurt</t>
        </is>
      </c>
      <c r="B20" s="8" t="inlineStr">
        <is>
          <t>Breeze</t>
        </is>
      </c>
      <c r="C20" s="8" t="n">
        <v>2</v>
      </c>
      <c r="D20" s="8" t="n">
        <v>4</v>
      </c>
      <c r="E20" s="8" t="n">
        <v>0.33</v>
      </c>
      <c r="F20" s="8" t="inlineStr">
        <is>
          <t>atk</t>
        </is>
      </c>
    </row>
    <row r="21">
      <c r="A21" s="12" t="inlineStr">
        <is>
          <t>Eintracht Frankfurt</t>
        </is>
      </c>
      <c r="B21" s="12" t="inlineStr">
        <is>
          <t>Breeze</t>
        </is>
      </c>
      <c r="C21" s="12" t="n">
        <v>5</v>
      </c>
      <c r="D21" s="12" t="n">
        <v>1</v>
      </c>
      <c r="E21" s="12" t="n">
        <v>0.83</v>
      </c>
      <c r="F21" s="12" t="inlineStr">
        <is>
          <t>def</t>
        </is>
      </c>
    </row>
    <row r="22">
      <c r="A22" s="8" t="inlineStr">
        <is>
          <t>Eintracht Frankfurt</t>
        </is>
      </c>
      <c r="B22" s="8" t="inlineStr">
        <is>
          <t>Corrode</t>
        </is>
      </c>
      <c r="C22" s="8" t="n">
        <v>2</v>
      </c>
      <c r="D22" s="8" t="n">
        <v>2</v>
      </c>
      <c r="E22" s="8" t="n">
        <v>0.5</v>
      </c>
      <c r="F22" s="8" t="inlineStr">
        <is>
          <t>atk</t>
        </is>
      </c>
    </row>
    <row r="23">
      <c r="A23" s="12" t="inlineStr">
        <is>
          <t>Eintracht Frankfurt</t>
        </is>
      </c>
      <c r="B23" s="12" t="inlineStr">
        <is>
          <t>Corrode</t>
        </is>
      </c>
      <c r="C23" s="12" t="n">
        <v>2</v>
      </c>
      <c r="D23" s="12" t="n">
        <v>2</v>
      </c>
      <c r="E23" s="12" t="n">
        <v>0.5</v>
      </c>
      <c r="F23" s="12" t="inlineStr">
        <is>
          <t>def</t>
        </is>
      </c>
    </row>
    <row r="24">
      <c r="A24" s="8" t="inlineStr">
        <is>
          <t>Eintracht Frankfurt</t>
        </is>
      </c>
      <c r="B24" s="8" t="inlineStr">
        <is>
          <t>Haven</t>
        </is>
      </c>
      <c r="C24" s="8" t="n">
        <v>6</v>
      </c>
      <c r="D24" s="8" t="n">
        <v>2</v>
      </c>
      <c r="E24" s="8" t="n">
        <v>0.75</v>
      </c>
      <c r="F24" s="8" t="inlineStr">
        <is>
          <t>atk</t>
        </is>
      </c>
    </row>
    <row r="25">
      <c r="A25" s="12" t="inlineStr">
        <is>
          <t>Eintracht Frankfurt</t>
        </is>
      </c>
      <c r="B25" s="12" t="inlineStr">
        <is>
          <t>Haven</t>
        </is>
      </c>
      <c r="C25" s="12" t="n">
        <v>2</v>
      </c>
      <c r="D25" s="12" t="n">
        <v>6</v>
      </c>
      <c r="E25" s="12" t="n">
        <v>0.25</v>
      </c>
      <c r="F25" s="12" t="inlineStr">
        <is>
          <t>def</t>
        </is>
      </c>
    </row>
    <row r="26">
      <c r="A26" s="8" t="inlineStr">
        <is>
          <t>Eintracht Frankfurt</t>
        </is>
      </c>
      <c r="B26" s="8" t="inlineStr">
        <is>
          <t>Pearl</t>
        </is>
      </c>
      <c r="C26" s="8" t="n">
        <v>3</v>
      </c>
      <c r="D26" s="8" t="n">
        <v>2</v>
      </c>
      <c r="E26" s="8" t="n">
        <v>0.6</v>
      </c>
      <c r="F26" s="8" t="inlineStr">
        <is>
          <t>atk</t>
        </is>
      </c>
    </row>
    <row r="27">
      <c r="A27" s="12" t="inlineStr">
        <is>
          <t>Eintracht Frankfurt</t>
        </is>
      </c>
      <c r="B27" s="12" t="inlineStr">
        <is>
          <t>Pearl</t>
        </is>
      </c>
      <c r="C27" s="12" t="n">
        <v>2</v>
      </c>
      <c r="D27" s="12" t="n">
        <v>3</v>
      </c>
      <c r="E27" s="12" t="n">
        <v>0.4</v>
      </c>
      <c r="F27" s="12" t="inlineStr">
        <is>
          <t>def</t>
        </is>
      </c>
    </row>
    <row r="28">
      <c r="A28" s="8" t="inlineStr">
        <is>
          <t>Eintracht Frankfurt</t>
        </is>
      </c>
      <c r="B28" s="8" t="inlineStr">
        <is>
          <t>Split</t>
        </is>
      </c>
      <c r="C28" s="8" t="n">
        <v>1</v>
      </c>
      <c r="D28" s="8" t="n">
        <v>4</v>
      </c>
      <c r="E28" s="8" t="n">
        <v>0.2</v>
      </c>
      <c r="F28" s="8" t="inlineStr">
        <is>
          <t>atk</t>
        </is>
      </c>
    </row>
    <row r="29">
      <c r="A29" s="12" t="inlineStr">
        <is>
          <t>Eintracht Frankfurt</t>
        </is>
      </c>
      <c r="B29" s="12" t="inlineStr">
        <is>
          <t>Split</t>
        </is>
      </c>
      <c r="C29" s="12" t="n">
        <v>4</v>
      </c>
      <c r="D29" s="12" t="n">
        <v>1</v>
      </c>
      <c r="E29" s="12" t="n">
        <v>0.8</v>
      </c>
      <c r="F29" s="12" t="inlineStr">
        <is>
          <t>def</t>
        </is>
      </c>
    </row>
    <row r="30">
      <c r="A30" s="8" t="inlineStr">
        <is>
          <t>Enterprise Esports</t>
        </is>
      </c>
      <c r="B30" s="8" t="inlineStr">
        <is>
          <t>Bind</t>
        </is>
      </c>
      <c r="C30" s="8" t="n">
        <v>4</v>
      </c>
      <c r="D30" s="8" t="n">
        <v>3</v>
      </c>
      <c r="E30" s="8" t="n">
        <v>0.57</v>
      </c>
      <c r="F30" s="8" t="inlineStr">
        <is>
          <t>atk</t>
        </is>
      </c>
    </row>
    <row r="31">
      <c r="A31" s="12" t="inlineStr">
        <is>
          <t>Enterprise Esports</t>
        </is>
      </c>
      <c r="B31" s="12" t="inlineStr">
        <is>
          <t>Bind</t>
        </is>
      </c>
      <c r="C31" s="12" t="n">
        <v>3</v>
      </c>
      <c r="D31" s="12" t="n">
        <v>4</v>
      </c>
      <c r="E31" s="12" t="n">
        <v>0.43</v>
      </c>
      <c r="F31" s="12" t="inlineStr">
        <is>
          <t>def</t>
        </is>
      </c>
    </row>
    <row r="32">
      <c r="A32" s="8" t="inlineStr">
        <is>
          <t>Enterprise Esports</t>
        </is>
      </c>
      <c r="B32" s="8" t="inlineStr">
        <is>
          <t>Corrode</t>
        </is>
      </c>
      <c r="C32" s="8" t="n">
        <v>2</v>
      </c>
      <c r="D32" s="8" t="n">
        <v>2</v>
      </c>
      <c r="E32" s="8" t="n">
        <v>0.5</v>
      </c>
      <c r="F32" s="8" t="inlineStr">
        <is>
          <t>atk</t>
        </is>
      </c>
    </row>
    <row r="33">
      <c r="A33" s="12" t="inlineStr">
        <is>
          <t>Enterprise Esports</t>
        </is>
      </c>
      <c r="B33" s="12" t="inlineStr">
        <is>
          <t>Corrode</t>
        </is>
      </c>
      <c r="C33" s="12" t="n">
        <v>2</v>
      </c>
      <c r="D33" s="12" t="n">
        <v>2</v>
      </c>
      <c r="E33" s="12" t="n">
        <v>0.5</v>
      </c>
      <c r="F33" s="12" t="inlineStr">
        <is>
          <t>def</t>
        </is>
      </c>
    </row>
    <row r="34">
      <c r="A34" s="8" t="inlineStr">
        <is>
          <t>Enterprise Esports</t>
        </is>
      </c>
      <c r="B34" s="8" t="inlineStr">
        <is>
          <t>Haven</t>
        </is>
      </c>
      <c r="C34" s="8" t="n">
        <v>3</v>
      </c>
      <c r="D34" s="8" t="n">
        <v>1</v>
      </c>
      <c r="E34" s="8" t="n">
        <v>0.75</v>
      </c>
      <c r="F34" s="8" t="inlineStr">
        <is>
          <t>atk</t>
        </is>
      </c>
    </row>
    <row r="35">
      <c r="A35" s="12" t="inlineStr">
        <is>
          <t>Enterprise Esports</t>
        </is>
      </c>
      <c r="B35" s="12" t="inlineStr">
        <is>
          <t>Haven</t>
        </is>
      </c>
      <c r="C35" s="12" t="n">
        <v>1</v>
      </c>
      <c r="D35" s="12" t="n">
        <v>3</v>
      </c>
      <c r="E35" s="12" t="n">
        <v>0.25</v>
      </c>
      <c r="F35" s="12" t="inlineStr">
        <is>
          <t>def</t>
        </is>
      </c>
    </row>
    <row r="36">
      <c r="A36" s="8" t="inlineStr">
        <is>
          <t>Enterprise Esports</t>
        </is>
      </c>
      <c r="B36" s="8" t="inlineStr">
        <is>
          <t>Pearl</t>
        </is>
      </c>
      <c r="C36" s="8" t="n">
        <v>5</v>
      </c>
      <c r="D36" s="8" t="n">
        <v>0</v>
      </c>
      <c r="E36" s="8" t="n">
        <v>1</v>
      </c>
      <c r="F36" s="8" t="inlineStr">
        <is>
          <t>atk</t>
        </is>
      </c>
    </row>
    <row r="37">
      <c r="A37" s="12" t="inlineStr">
        <is>
          <t>Enterprise Esports</t>
        </is>
      </c>
      <c r="B37" s="12" t="inlineStr">
        <is>
          <t>Pearl</t>
        </is>
      </c>
      <c r="C37" s="12" t="n">
        <v>4</v>
      </c>
      <c r="D37" s="12" t="n">
        <v>1</v>
      </c>
      <c r="E37" s="12" t="n">
        <v>0.8</v>
      </c>
      <c r="F37" s="12" t="inlineStr">
        <is>
          <t>def</t>
        </is>
      </c>
    </row>
    <row r="38">
      <c r="A38" s="8" t="inlineStr">
        <is>
          <t>Enterprise Esports</t>
        </is>
      </c>
      <c r="B38" s="8" t="inlineStr">
        <is>
          <t>Split</t>
        </is>
      </c>
      <c r="C38" s="8" t="n">
        <v>3</v>
      </c>
      <c r="D38" s="8" t="n">
        <v>3</v>
      </c>
      <c r="E38" s="8" t="n">
        <v>0.5</v>
      </c>
      <c r="F38" s="8" t="inlineStr">
        <is>
          <t>atk</t>
        </is>
      </c>
    </row>
    <row r="39">
      <c r="A39" s="12" t="inlineStr">
        <is>
          <t>Enterprise Esports</t>
        </is>
      </c>
      <c r="B39" s="12" t="inlineStr">
        <is>
          <t>Split</t>
        </is>
      </c>
      <c r="C39" s="12" t="n">
        <v>3</v>
      </c>
      <c r="D39" s="12" t="n">
        <v>3</v>
      </c>
      <c r="E39" s="12" t="n">
        <v>0.5</v>
      </c>
      <c r="F39" s="12" t="inlineStr">
        <is>
          <t>def</t>
        </is>
      </c>
    </row>
    <row r="40">
      <c r="A40" s="8" t="inlineStr">
        <is>
          <t>FOKUS</t>
        </is>
      </c>
      <c r="B40" s="8" t="inlineStr">
        <is>
          <t>Abyss</t>
        </is>
      </c>
      <c r="C40" s="8" t="n">
        <v>4</v>
      </c>
      <c r="D40" s="8" t="n">
        <v>7</v>
      </c>
      <c r="E40" s="8" t="n">
        <v>0.36</v>
      </c>
      <c r="F40" s="8" t="inlineStr">
        <is>
          <t>atk</t>
        </is>
      </c>
    </row>
    <row r="41">
      <c r="A41" s="12" t="inlineStr">
        <is>
          <t>FOKUS</t>
        </is>
      </c>
      <c r="B41" s="12" t="inlineStr">
        <is>
          <t>Abyss</t>
        </is>
      </c>
      <c r="C41" s="12" t="n">
        <v>7</v>
      </c>
      <c r="D41" s="12" t="n">
        <v>4</v>
      </c>
      <c r="E41" s="12" t="n">
        <v>0.64</v>
      </c>
      <c r="F41" s="12" t="inlineStr">
        <is>
          <t>def</t>
        </is>
      </c>
    </row>
    <row r="42">
      <c r="A42" s="8" t="inlineStr">
        <is>
          <t>FOKUS</t>
        </is>
      </c>
      <c r="B42" s="8" t="inlineStr">
        <is>
          <t>Bind</t>
        </is>
      </c>
      <c r="C42" s="8" t="n">
        <v>2</v>
      </c>
      <c r="D42" s="8" t="n">
        <v>7</v>
      </c>
      <c r="E42" s="8" t="n">
        <v>0.22</v>
      </c>
      <c r="F42" s="8" t="inlineStr">
        <is>
          <t>atk</t>
        </is>
      </c>
    </row>
    <row r="43">
      <c r="A43" s="12" t="inlineStr">
        <is>
          <t>FOKUS</t>
        </is>
      </c>
      <c r="B43" s="12" t="inlineStr">
        <is>
          <t>Bind</t>
        </is>
      </c>
      <c r="C43" s="12" t="n">
        <v>6</v>
      </c>
      <c r="D43" s="12" t="n">
        <v>3</v>
      </c>
      <c r="E43" s="12" t="n">
        <v>0.67</v>
      </c>
      <c r="F43" s="12" t="inlineStr">
        <is>
          <t>def</t>
        </is>
      </c>
    </row>
    <row r="44">
      <c r="A44" s="8" t="inlineStr">
        <is>
          <t>FOKUS</t>
        </is>
      </c>
      <c r="B44" s="8" t="inlineStr">
        <is>
          <t>Breeze</t>
        </is>
      </c>
      <c r="C44" s="8" t="n">
        <v>4</v>
      </c>
      <c r="D44" s="8" t="n">
        <v>4</v>
      </c>
      <c r="E44" s="8" t="n">
        <v>0.5</v>
      </c>
      <c r="F44" s="8" t="inlineStr">
        <is>
          <t>atk</t>
        </is>
      </c>
    </row>
    <row r="45">
      <c r="A45" s="12" t="inlineStr">
        <is>
          <t>FOKUS</t>
        </is>
      </c>
      <c r="B45" s="12" t="inlineStr">
        <is>
          <t>Breeze</t>
        </is>
      </c>
      <c r="C45" s="12" t="n">
        <v>5</v>
      </c>
      <c r="D45" s="12" t="n">
        <v>3</v>
      </c>
      <c r="E45" s="12" t="n">
        <v>0.62</v>
      </c>
      <c r="F45" s="12" t="inlineStr">
        <is>
          <t>def</t>
        </is>
      </c>
    </row>
    <row r="46">
      <c r="A46" s="8" t="inlineStr">
        <is>
          <t>FOKUS</t>
        </is>
      </c>
      <c r="B46" s="8" t="inlineStr">
        <is>
          <t>Corrode</t>
        </is>
      </c>
      <c r="C46" s="8" t="n">
        <v>5</v>
      </c>
      <c r="D46" s="8" t="n">
        <v>1</v>
      </c>
      <c r="E46" s="8" t="n">
        <v>0.83</v>
      </c>
      <c r="F46" s="8" t="inlineStr">
        <is>
          <t>atk</t>
        </is>
      </c>
    </row>
    <row r="47">
      <c r="A47" s="12" t="inlineStr">
        <is>
          <t>FOKUS</t>
        </is>
      </c>
      <c r="B47" s="12" t="inlineStr">
        <is>
          <t>Corrode</t>
        </is>
      </c>
      <c r="C47" s="12" t="n">
        <v>3</v>
      </c>
      <c r="D47" s="12" t="n">
        <v>3</v>
      </c>
      <c r="E47" s="12" t="n">
        <v>0.5</v>
      </c>
      <c r="F47" s="12" t="inlineStr">
        <is>
          <t>def</t>
        </is>
      </c>
    </row>
    <row r="48">
      <c r="A48" s="8" t="inlineStr">
        <is>
          <t>FOKUS</t>
        </is>
      </c>
      <c r="B48" s="8" t="inlineStr">
        <is>
          <t>Haven</t>
        </is>
      </c>
      <c r="C48" s="8" t="n">
        <v>5</v>
      </c>
      <c r="D48" s="8" t="n">
        <v>2</v>
      </c>
      <c r="E48" s="8" t="n">
        <v>0.71</v>
      </c>
      <c r="F48" s="8" t="inlineStr">
        <is>
          <t>atk</t>
        </is>
      </c>
    </row>
    <row r="49">
      <c r="A49" s="12" t="inlineStr">
        <is>
          <t>FOKUS</t>
        </is>
      </c>
      <c r="B49" s="12" t="inlineStr">
        <is>
          <t>Haven</t>
        </is>
      </c>
      <c r="C49" s="12" t="n">
        <v>2</v>
      </c>
      <c r="D49" s="12" t="n">
        <v>5</v>
      </c>
      <c r="E49" s="12" t="n">
        <v>0.29</v>
      </c>
      <c r="F49" s="12" t="inlineStr">
        <is>
          <t>def</t>
        </is>
      </c>
    </row>
    <row r="50">
      <c r="A50" s="8" t="inlineStr">
        <is>
          <t>FOKUS</t>
        </is>
      </c>
      <c r="B50" s="8" t="inlineStr">
        <is>
          <t>Pearl</t>
        </is>
      </c>
      <c r="C50" s="8" t="n">
        <v>2</v>
      </c>
      <c r="D50" s="8" t="n">
        <v>0</v>
      </c>
      <c r="E50" s="8" t="n">
        <v>1</v>
      </c>
      <c r="F50" s="8" t="inlineStr">
        <is>
          <t>atk</t>
        </is>
      </c>
    </row>
    <row r="51">
      <c r="A51" s="12" t="inlineStr">
        <is>
          <t>FOKUS</t>
        </is>
      </c>
      <c r="B51" s="12" t="inlineStr">
        <is>
          <t>Pearl</t>
        </is>
      </c>
      <c r="C51" s="12" t="n">
        <v>0</v>
      </c>
      <c r="D51" s="12" t="n">
        <v>2</v>
      </c>
      <c r="E51" s="12" t="n">
        <v>0</v>
      </c>
      <c r="F51" s="12" t="inlineStr">
        <is>
          <t>def</t>
        </is>
      </c>
    </row>
    <row r="52">
      <c r="A52" s="8" t="inlineStr">
        <is>
          <t>FOKUS</t>
        </is>
      </c>
      <c r="B52" s="8" t="inlineStr">
        <is>
          <t>Split</t>
        </is>
      </c>
      <c r="C52" s="8" t="n">
        <v>4</v>
      </c>
      <c r="D52" s="8" t="n">
        <v>2</v>
      </c>
      <c r="E52" s="8" t="n">
        <v>0.67</v>
      </c>
      <c r="F52" s="8" t="inlineStr">
        <is>
          <t>atk</t>
        </is>
      </c>
    </row>
    <row r="53">
      <c r="A53" s="12" t="inlineStr">
        <is>
          <t>FOKUS</t>
        </is>
      </c>
      <c r="B53" s="12" t="inlineStr">
        <is>
          <t>Split</t>
        </is>
      </c>
      <c r="C53" s="12" t="n">
        <v>2</v>
      </c>
      <c r="D53" s="12" t="n">
        <v>4</v>
      </c>
      <c r="E53" s="12" t="n">
        <v>0.33</v>
      </c>
      <c r="F53" s="12" t="inlineStr">
        <is>
          <t>def</t>
        </is>
      </c>
    </row>
    <row r="54">
      <c r="A54" s="8" t="inlineStr">
        <is>
          <t>GnG Amazigh</t>
        </is>
      </c>
      <c r="B54" s="8" t="inlineStr">
        <is>
          <t>Abyss</t>
        </is>
      </c>
      <c r="C54" s="8" t="n">
        <v>2</v>
      </c>
      <c r="D54" s="8" t="n">
        <v>1</v>
      </c>
      <c r="E54" s="8" t="n">
        <v>0.67</v>
      </c>
      <c r="F54" s="8" t="inlineStr">
        <is>
          <t>atk</t>
        </is>
      </c>
    </row>
    <row r="55">
      <c r="A55" s="12" t="inlineStr">
        <is>
          <t>GnG Amazigh</t>
        </is>
      </c>
      <c r="B55" s="12" t="inlineStr">
        <is>
          <t>Abyss</t>
        </is>
      </c>
      <c r="C55" s="12" t="n">
        <v>2</v>
      </c>
      <c r="D55" s="12" t="n">
        <v>1</v>
      </c>
      <c r="E55" s="12" t="n">
        <v>0.67</v>
      </c>
      <c r="F55" s="12" t="inlineStr">
        <is>
          <t>def</t>
        </is>
      </c>
    </row>
    <row r="56">
      <c r="A56" s="8" t="inlineStr">
        <is>
          <t>GnG Amazigh</t>
        </is>
      </c>
      <c r="B56" s="8" t="inlineStr">
        <is>
          <t>Ascent</t>
        </is>
      </c>
      <c r="C56" s="8" t="n">
        <v>1</v>
      </c>
      <c r="D56" s="8" t="n">
        <v>0</v>
      </c>
      <c r="E56" s="8" t="n">
        <v>1</v>
      </c>
      <c r="F56" s="8" t="inlineStr">
        <is>
          <t>atk</t>
        </is>
      </c>
    </row>
    <row r="57">
      <c r="A57" s="12" t="inlineStr">
        <is>
          <t>GnG Amazigh</t>
        </is>
      </c>
      <c r="B57" s="12" t="inlineStr">
        <is>
          <t>Ascent</t>
        </is>
      </c>
      <c r="C57" s="12" t="n">
        <v>0</v>
      </c>
      <c r="D57" s="12" t="n">
        <v>1</v>
      </c>
      <c r="E57" s="12" t="n">
        <v>0</v>
      </c>
      <c r="F57" s="12" t="inlineStr">
        <is>
          <t>def</t>
        </is>
      </c>
    </row>
    <row r="58">
      <c r="A58" s="8" t="inlineStr">
        <is>
          <t>GnG Amazigh</t>
        </is>
      </c>
      <c r="B58" s="8" t="inlineStr">
        <is>
          <t>Bind</t>
        </is>
      </c>
      <c r="C58" s="8" t="n">
        <v>3</v>
      </c>
      <c r="D58" s="8" t="n">
        <v>5</v>
      </c>
      <c r="E58" s="8" t="n">
        <v>0.38</v>
      </c>
      <c r="F58" s="8" t="inlineStr">
        <is>
          <t>atk</t>
        </is>
      </c>
    </row>
    <row r="59">
      <c r="A59" s="12" t="inlineStr">
        <is>
          <t>GnG Amazigh</t>
        </is>
      </c>
      <c r="B59" s="12" t="inlineStr">
        <is>
          <t>Bind</t>
        </is>
      </c>
      <c r="C59" s="12" t="n">
        <v>5</v>
      </c>
      <c r="D59" s="12" t="n">
        <v>3</v>
      </c>
      <c r="E59" s="12" t="n">
        <v>0.62</v>
      </c>
      <c r="F59" s="12" t="inlineStr">
        <is>
          <t>def</t>
        </is>
      </c>
    </row>
    <row r="60">
      <c r="A60" s="8" t="inlineStr">
        <is>
          <t>GnG Amazigh</t>
        </is>
      </c>
      <c r="B60" s="8" t="inlineStr">
        <is>
          <t>Corrode</t>
        </is>
      </c>
      <c r="C60" s="8" t="n">
        <v>1</v>
      </c>
      <c r="D60" s="8" t="n">
        <v>5</v>
      </c>
      <c r="E60" s="8" t="n">
        <v>0.17</v>
      </c>
      <c r="F60" s="8" t="inlineStr">
        <is>
          <t>atk</t>
        </is>
      </c>
    </row>
    <row r="61">
      <c r="A61" s="12" t="inlineStr">
        <is>
          <t>GnG Amazigh</t>
        </is>
      </c>
      <c r="B61" s="12" t="inlineStr">
        <is>
          <t>Corrode</t>
        </is>
      </c>
      <c r="C61" s="12" t="n">
        <v>2</v>
      </c>
      <c r="D61" s="12" t="n">
        <v>4</v>
      </c>
      <c r="E61" s="12" t="n">
        <v>0.33</v>
      </c>
      <c r="F61" s="12" t="inlineStr">
        <is>
          <t>def</t>
        </is>
      </c>
    </row>
    <row r="62">
      <c r="A62" s="8" t="inlineStr">
        <is>
          <t>GnG Amazigh</t>
        </is>
      </c>
      <c r="B62" s="8" t="inlineStr">
        <is>
          <t>Haven</t>
        </is>
      </c>
      <c r="C62" s="8" t="n">
        <v>4</v>
      </c>
      <c r="D62" s="8" t="n">
        <v>2</v>
      </c>
      <c r="E62" s="8" t="n">
        <v>0.67</v>
      </c>
      <c r="F62" s="8" t="inlineStr">
        <is>
          <t>atk</t>
        </is>
      </c>
    </row>
    <row r="63">
      <c r="A63" s="12" t="inlineStr">
        <is>
          <t>GnG Amazigh</t>
        </is>
      </c>
      <c r="B63" s="12" t="inlineStr">
        <is>
          <t>Haven</t>
        </is>
      </c>
      <c r="C63" s="12" t="n">
        <v>0</v>
      </c>
      <c r="D63" s="12" t="n">
        <v>6</v>
      </c>
      <c r="E63" s="12" t="n">
        <v>0</v>
      </c>
      <c r="F63" s="12" t="inlineStr">
        <is>
          <t>def</t>
        </is>
      </c>
    </row>
    <row r="64">
      <c r="A64" s="8" t="inlineStr">
        <is>
          <t>GnG Amazigh</t>
        </is>
      </c>
      <c r="B64" s="8" t="inlineStr">
        <is>
          <t>Pearl</t>
        </is>
      </c>
      <c r="C64" s="8" t="n">
        <v>3</v>
      </c>
      <c r="D64" s="8" t="n">
        <v>2</v>
      </c>
      <c r="E64" s="8" t="n">
        <v>0.6</v>
      </c>
      <c r="F64" s="8" t="inlineStr">
        <is>
          <t>atk</t>
        </is>
      </c>
    </row>
    <row r="65">
      <c r="A65" s="12" t="inlineStr">
        <is>
          <t>GnG Amazigh</t>
        </is>
      </c>
      <c r="B65" s="12" t="inlineStr">
        <is>
          <t>Pearl</t>
        </is>
      </c>
      <c r="C65" s="12" t="n">
        <v>2</v>
      </c>
      <c r="D65" s="12" t="n">
        <v>3</v>
      </c>
      <c r="E65" s="12" t="n">
        <v>0.4</v>
      </c>
      <c r="F65" s="12" t="inlineStr">
        <is>
          <t>def</t>
        </is>
      </c>
    </row>
    <row r="66">
      <c r="A66" s="8" t="inlineStr">
        <is>
          <t>GnG Amazigh</t>
        </is>
      </c>
      <c r="B66" s="8" t="inlineStr">
        <is>
          <t>Skirmish B</t>
        </is>
      </c>
      <c r="C66" s="8" t="n">
        <v>1</v>
      </c>
      <c r="D66" s="8" t="n">
        <v>0</v>
      </c>
      <c r="E66" s="8" t="n">
        <v>1</v>
      </c>
      <c r="F66" s="8" t="inlineStr">
        <is>
          <t>atk</t>
        </is>
      </c>
    </row>
    <row r="67">
      <c r="A67" s="12" t="inlineStr">
        <is>
          <t>GnG Amazigh</t>
        </is>
      </c>
      <c r="B67" s="12" t="inlineStr">
        <is>
          <t>Skirmish B</t>
        </is>
      </c>
      <c r="C67" s="12" t="n">
        <v>0</v>
      </c>
      <c r="D67" s="12" t="n">
        <v>1</v>
      </c>
      <c r="E67" s="12" t="n">
        <v>0</v>
      </c>
      <c r="F67" s="12" t="inlineStr">
        <is>
          <t>def</t>
        </is>
      </c>
    </row>
    <row r="68">
      <c r="A68" s="8" t="inlineStr">
        <is>
          <t>GnG Amazigh</t>
        </is>
      </c>
      <c r="B68" s="8" t="inlineStr">
        <is>
          <t>Skirmish C</t>
        </is>
      </c>
      <c r="C68" s="8" t="n">
        <v>0</v>
      </c>
      <c r="D68" s="8" t="n">
        <v>1</v>
      </c>
      <c r="E68" s="8" t="n">
        <v>0</v>
      </c>
      <c r="F68" s="8" t="inlineStr">
        <is>
          <t>atk</t>
        </is>
      </c>
    </row>
    <row r="69">
      <c r="A69" s="12" t="inlineStr">
        <is>
          <t>GnG Amazigh</t>
        </is>
      </c>
      <c r="B69" s="12" t="inlineStr">
        <is>
          <t>Skirmish C</t>
        </is>
      </c>
      <c r="C69" s="12" t="n">
        <v>0</v>
      </c>
      <c r="D69" s="12" t="n">
        <v>1</v>
      </c>
      <c r="E69" s="12" t="n">
        <v>0</v>
      </c>
      <c r="F69" s="12" t="inlineStr">
        <is>
          <t>def</t>
        </is>
      </c>
    </row>
    <row r="70">
      <c r="A70" s="8" t="inlineStr">
        <is>
          <t>GnG Amazigh</t>
        </is>
      </c>
      <c r="B70" s="8" t="inlineStr">
        <is>
          <t>Split</t>
        </is>
      </c>
      <c r="C70" s="8" t="n">
        <v>2</v>
      </c>
      <c r="D70" s="8" t="n">
        <v>1</v>
      </c>
      <c r="E70" s="8" t="n">
        <v>0.67</v>
      </c>
      <c r="F70" s="8" t="inlineStr">
        <is>
          <t>atk</t>
        </is>
      </c>
    </row>
    <row r="71">
      <c r="A71" s="12" t="inlineStr">
        <is>
          <t>GnG Amazigh</t>
        </is>
      </c>
      <c r="B71" s="12" t="inlineStr">
        <is>
          <t>Split</t>
        </is>
      </c>
      <c r="C71" s="12" t="n">
        <v>2</v>
      </c>
      <c r="D71" s="12" t="n">
        <v>1</v>
      </c>
      <c r="E71" s="12" t="n">
        <v>0.67</v>
      </c>
      <c r="F71" s="12" t="inlineStr">
        <is>
          <t>def</t>
        </is>
      </c>
    </row>
    <row r="72">
      <c r="A72" s="8" t="inlineStr">
        <is>
          <t>Joblife</t>
        </is>
      </c>
      <c r="B72" s="8" t="inlineStr">
        <is>
          <t>Abyss</t>
        </is>
      </c>
      <c r="C72" s="8" t="n">
        <v>3</v>
      </c>
      <c r="D72" s="8" t="n">
        <v>4</v>
      </c>
      <c r="E72" s="8" t="n">
        <v>0.43</v>
      </c>
      <c r="F72" s="8" t="inlineStr">
        <is>
          <t>atk</t>
        </is>
      </c>
    </row>
    <row r="73">
      <c r="A73" s="12" t="inlineStr">
        <is>
          <t>Joblife</t>
        </is>
      </c>
      <c r="B73" s="12" t="inlineStr">
        <is>
          <t>Abyss</t>
        </is>
      </c>
      <c r="C73" s="12" t="n">
        <v>5</v>
      </c>
      <c r="D73" s="12" t="n">
        <v>2</v>
      </c>
      <c r="E73" s="12" t="n">
        <v>0.71</v>
      </c>
      <c r="F73" s="12" t="inlineStr">
        <is>
          <t>def</t>
        </is>
      </c>
    </row>
    <row r="74">
      <c r="A74" s="8" t="inlineStr">
        <is>
          <t>Joblife</t>
        </is>
      </c>
      <c r="B74" s="8" t="inlineStr">
        <is>
          <t>Ascent</t>
        </is>
      </c>
      <c r="C74" s="8" t="n">
        <v>1</v>
      </c>
      <c r="D74" s="8" t="n">
        <v>0</v>
      </c>
      <c r="E74" s="8" t="n">
        <v>1</v>
      </c>
      <c r="F74" s="8" t="inlineStr">
        <is>
          <t>atk</t>
        </is>
      </c>
    </row>
    <row r="75">
      <c r="A75" s="12" t="inlineStr">
        <is>
          <t>Joblife</t>
        </is>
      </c>
      <c r="B75" s="12" t="inlineStr">
        <is>
          <t>Ascent</t>
        </is>
      </c>
      <c r="C75" s="12" t="n">
        <v>0</v>
      </c>
      <c r="D75" s="12" t="n">
        <v>1</v>
      </c>
      <c r="E75" s="12" t="n">
        <v>0</v>
      </c>
      <c r="F75" s="12" t="inlineStr">
        <is>
          <t>def</t>
        </is>
      </c>
    </row>
    <row r="76">
      <c r="A76" s="8" t="inlineStr">
        <is>
          <t>Joblife</t>
        </is>
      </c>
      <c r="B76" s="8" t="inlineStr">
        <is>
          <t>Bind</t>
        </is>
      </c>
      <c r="C76" s="8" t="n">
        <v>1</v>
      </c>
      <c r="D76" s="8" t="n">
        <v>0</v>
      </c>
      <c r="E76" s="8" t="n">
        <v>1</v>
      </c>
      <c r="F76" s="8" t="inlineStr">
        <is>
          <t>atk</t>
        </is>
      </c>
    </row>
    <row r="77">
      <c r="A77" s="12" t="inlineStr">
        <is>
          <t>Joblife</t>
        </is>
      </c>
      <c r="B77" s="12" t="inlineStr">
        <is>
          <t>Bind</t>
        </is>
      </c>
      <c r="C77" s="12" t="n">
        <v>1</v>
      </c>
      <c r="D77" s="12" t="n">
        <v>0</v>
      </c>
      <c r="E77" s="12" t="n">
        <v>1</v>
      </c>
      <c r="F77" s="12" t="inlineStr">
        <is>
          <t>def</t>
        </is>
      </c>
    </row>
    <row r="78">
      <c r="A78" s="8" t="inlineStr">
        <is>
          <t>Joblife</t>
        </is>
      </c>
      <c r="B78" s="8" t="inlineStr">
        <is>
          <t>Breeze</t>
        </is>
      </c>
      <c r="C78" s="8" t="n">
        <v>1</v>
      </c>
      <c r="D78" s="8" t="n">
        <v>0</v>
      </c>
      <c r="E78" s="8" t="n">
        <v>1</v>
      </c>
      <c r="F78" s="8" t="inlineStr">
        <is>
          <t>atk</t>
        </is>
      </c>
    </row>
    <row r="79">
      <c r="A79" s="12" t="inlineStr">
        <is>
          <t>Joblife</t>
        </is>
      </c>
      <c r="B79" s="12" t="inlineStr">
        <is>
          <t>Breeze</t>
        </is>
      </c>
      <c r="C79" s="12" t="n">
        <v>0</v>
      </c>
      <c r="D79" s="12" t="n">
        <v>1</v>
      </c>
      <c r="E79" s="12" t="n">
        <v>0</v>
      </c>
      <c r="F79" s="12" t="inlineStr">
        <is>
          <t>def</t>
        </is>
      </c>
    </row>
    <row r="80">
      <c r="A80" s="8" t="inlineStr">
        <is>
          <t>Joblife</t>
        </is>
      </c>
      <c r="B80" s="8" t="inlineStr">
        <is>
          <t>Corrode</t>
        </is>
      </c>
      <c r="C80" s="8" t="n">
        <v>7</v>
      </c>
      <c r="D80" s="8" t="n">
        <v>0</v>
      </c>
      <c r="E80" s="8" t="n">
        <v>1</v>
      </c>
      <c r="F80" s="8" t="inlineStr">
        <is>
          <t>atk</t>
        </is>
      </c>
    </row>
    <row r="81">
      <c r="A81" s="12" t="inlineStr">
        <is>
          <t>Joblife</t>
        </is>
      </c>
      <c r="B81" s="12" t="inlineStr">
        <is>
          <t>Corrode</t>
        </is>
      </c>
      <c r="C81" s="12" t="n">
        <v>2</v>
      </c>
      <c r="D81" s="12" t="n">
        <v>5</v>
      </c>
      <c r="E81" s="12" t="n">
        <v>0.29</v>
      </c>
      <c r="F81" s="12" t="inlineStr">
        <is>
          <t>def</t>
        </is>
      </c>
    </row>
    <row r="82">
      <c r="A82" s="8" t="inlineStr">
        <is>
          <t>Joblife</t>
        </is>
      </c>
      <c r="B82" s="8" t="inlineStr">
        <is>
          <t>Haven</t>
        </is>
      </c>
      <c r="C82" s="8" t="n">
        <v>4</v>
      </c>
      <c r="D82" s="8" t="n">
        <v>2</v>
      </c>
      <c r="E82" s="8" t="n">
        <v>0.67</v>
      </c>
      <c r="F82" s="8" t="inlineStr">
        <is>
          <t>atk</t>
        </is>
      </c>
    </row>
    <row r="83">
      <c r="A83" s="12" t="inlineStr">
        <is>
          <t>Joblife</t>
        </is>
      </c>
      <c r="B83" s="12" t="inlineStr">
        <is>
          <t>Haven</t>
        </is>
      </c>
      <c r="C83" s="12" t="n">
        <v>3</v>
      </c>
      <c r="D83" s="12" t="n">
        <v>3</v>
      </c>
      <c r="E83" s="12" t="n">
        <v>0.5</v>
      </c>
      <c r="F83" s="12" t="inlineStr">
        <is>
          <t>def</t>
        </is>
      </c>
    </row>
    <row r="84">
      <c r="A84" s="8" t="inlineStr">
        <is>
          <t>Joblife</t>
        </is>
      </c>
      <c r="B84" s="8" t="inlineStr">
        <is>
          <t>Pearl</t>
        </is>
      </c>
      <c r="C84" s="8" t="n">
        <v>4</v>
      </c>
      <c r="D84" s="8" t="n">
        <v>1</v>
      </c>
      <c r="E84" s="8" t="n">
        <v>0.8</v>
      </c>
      <c r="F84" s="8" t="inlineStr">
        <is>
          <t>atk</t>
        </is>
      </c>
    </row>
    <row r="85">
      <c r="A85" s="12" t="inlineStr">
        <is>
          <t>Joblife</t>
        </is>
      </c>
      <c r="B85" s="12" t="inlineStr">
        <is>
          <t>Pearl</t>
        </is>
      </c>
      <c r="C85" s="12" t="n">
        <v>2</v>
      </c>
      <c r="D85" s="12" t="n">
        <v>3</v>
      </c>
      <c r="E85" s="12" t="n">
        <v>0.4</v>
      </c>
      <c r="F85" s="12" t="inlineStr">
        <is>
          <t>def</t>
        </is>
      </c>
    </row>
    <row r="86">
      <c r="A86" s="8" t="inlineStr">
        <is>
          <t>Joblife</t>
        </is>
      </c>
      <c r="B86" s="8" t="inlineStr">
        <is>
          <t>Split</t>
        </is>
      </c>
      <c r="C86" s="8" t="n">
        <v>3</v>
      </c>
      <c r="D86" s="8" t="n">
        <v>2</v>
      </c>
      <c r="E86" s="8" t="n">
        <v>0.6</v>
      </c>
      <c r="F86" s="8" t="inlineStr">
        <is>
          <t>atk</t>
        </is>
      </c>
    </row>
    <row r="87">
      <c r="A87" s="12" t="inlineStr">
        <is>
          <t>Joblife</t>
        </is>
      </c>
      <c r="B87" s="12" t="inlineStr">
        <is>
          <t>Split</t>
        </is>
      </c>
      <c r="C87" s="12" t="n">
        <v>3</v>
      </c>
      <c r="D87" s="12" t="n">
        <v>2</v>
      </c>
      <c r="E87" s="12" t="n">
        <v>0.6</v>
      </c>
      <c r="F87" s="12" t="inlineStr">
        <is>
          <t>def</t>
        </is>
      </c>
    </row>
    <row r="88">
      <c r="A88" s="8" t="inlineStr">
        <is>
          <t>MIR</t>
        </is>
      </c>
      <c r="B88" s="8" t="inlineStr">
        <is>
          <t>Abyss</t>
        </is>
      </c>
      <c r="C88" s="8" t="n">
        <v>1</v>
      </c>
      <c r="D88" s="8" t="n">
        <v>0</v>
      </c>
      <c r="E88" s="8" t="n">
        <v>1</v>
      </c>
      <c r="F88" s="8" t="inlineStr">
        <is>
          <t>atk</t>
        </is>
      </c>
    </row>
    <row r="89">
      <c r="A89" s="12" t="inlineStr">
        <is>
          <t>MIR</t>
        </is>
      </c>
      <c r="B89" s="12" t="inlineStr">
        <is>
          <t>Abyss</t>
        </is>
      </c>
      <c r="C89" s="12" t="n">
        <v>1</v>
      </c>
      <c r="D89" s="12" t="n">
        <v>0</v>
      </c>
      <c r="E89" s="12" t="n">
        <v>1</v>
      </c>
      <c r="F89" s="12" t="inlineStr">
        <is>
          <t>def</t>
        </is>
      </c>
    </row>
    <row r="90">
      <c r="A90" s="8" t="inlineStr">
        <is>
          <t>MIR</t>
        </is>
      </c>
      <c r="B90" s="8" t="inlineStr">
        <is>
          <t>Bind</t>
        </is>
      </c>
      <c r="C90" s="8" t="n">
        <v>1</v>
      </c>
      <c r="D90" s="8" t="n">
        <v>3</v>
      </c>
      <c r="E90" s="8" t="n">
        <v>0.25</v>
      </c>
      <c r="F90" s="8" t="inlineStr">
        <is>
          <t>atk</t>
        </is>
      </c>
    </row>
    <row r="91">
      <c r="A91" s="12" t="inlineStr">
        <is>
          <t>MIR</t>
        </is>
      </c>
      <c r="B91" s="12" t="inlineStr">
        <is>
          <t>Bind</t>
        </is>
      </c>
      <c r="C91" s="12" t="n">
        <v>1</v>
      </c>
      <c r="D91" s="12" t="n">
        <v>2</v>
      </c>
      <c r="E91" s="12" t="n">
        <v>0.33</v>
      </c>
      <c r="F91" s="12" t="inlineStr">
        <is>
          <t>def</t>
        </is>
      </c>
    </row>
    <row r="92">
      <c r="A92" s="8" t="inlineStr">
        <is>
          <t>MIR</t>
        </is>
      </c>
      <c r="B92" s="8" t="inlineStr">
        <is>
          <t>Breeze</t>
        </is>
      </c>
      <c r="C92" s="8" t="n">
        <v>1</v>
      </c>
      <c r="D92" s="8" t="n">
        <v>2</v>
      </c>
      <c r="E92" s="8" t="n">
        <v>0.33</v>
      </c>
      <c r="F92" s="8" t="inlineStr">
        <is>
          <t>atk</t>
        </is>
      </c>
    </row>
    <row r="93">
      <c r="A93" s="12" t="inlineStr">
        <is>
          <t>MIR</t>
        </is>
      </c>
      <c r="B93" s="12" t="inlineStr">
        <is>
          <t>Breeze</t>
        </is>
      </c>
      <c r="C93" s="12" t="n">
        <v>1</v>
      </c>
      <c r="D93" s="12" t="n">
        <v>2</v>
      </c>
      <c r="E93" s="12" t="n">
        <v>0.33</v>
      </c>
      <c r="F93" s="12" t="inlineStr">
        <is>
          <t>def</t>
        </is>
      </c>
    </row>
    <row r="94">
      <c r="A94" s="8" t="inlineStr">
        <is>
          <t>MIR</t>
        </is>
      </c>
      <c r="B94" s="8" t="inlineStr">
        <is>
          <t>Corrode</t>
        </is>
      </c>
      <c r="C94" s="8" t="n">
        <v>0</v>
      </c>
      <c r="D94" s="8" t="n">
        <v>1</v>
      </c>
      <c r="E94" s="8" t="n">
        <v>0</v>
      </c>
      <c r="F94" s="8" t="inlineStr">
        <is>
          <t>atk</t>
        </is>
      </c>
    </row>
    <row r="95">
      <c r="A95" s="12" t="inlineStr">
        <is>
          <t>MIR</t>
        </is>
      </c>
      <c r="B95" s="12" t="inlineStr">
        <is>
          <t>Corrode</t>
        </is>
      </c>
      <c r="C95" s="12" t="n">
        <v>1</v>
      </c>
      <c r="D95" s="12" t="n">
        <v>0</v>
      </c>
      <c r="E95" s="12" t="n">
        <v>1</v>
      </c>
      <c r="F95" s="12" t="inlineStr">
        <is>
          <t>def</t>
        </is>
      </c>
    </row>
    <row r="96">
      <c r="A96" s="8" t="inlineStr">
        <is>
          <t>MIR</t>
        </is>
      </c>
      <c r="B96" s="8" t="inlineStr">
        <is>
          <t>Haven</t>
        </is>
      </c>
      <c r="C96" s="8" t="n">
        <v>1</v>
      </c>
      <c r="D96" s="8" t="n">
        <v>0</v>
      </c>
      <c r="E96" s="8" t="n">
        <v>1</v>
      </c>
      <c r="F96" s="8" t="inlineStr">
        <is>
          <t>atk</t>
        </is>
      </c>
    </row>
    <row r="97">
      <c r="A97" s="12" t="inlineStr">
        <is>
          <t>MIR</t>
        </is>
      </c>
      <c r="B97" s="12" t="inlineStr">
        <is>
          <t>Haven</t>
        </is>
      </c>
      <c r="C97" s="12" t="n">
        <v>0</v>
      </c>
      <c r="D97" s="12" t="n">
        <v>1</v>
      </c>
      <c r="E97" s="12" t="n">
        <v>0</v>
      </c>
      <c r="F97" s="12" t="inlineStr">
        <is>
          <t>def</t>
        </is>
      </c>
    </row>
    <row r="98">
      <c r="A98" s="8" t="inlineStr">
        <is>
          <t>MIR</t>
        </is>
      </c>
      <c r="B98" s="8" t="inlineStr">
        <is>
          <t>Split</t>
        </is>
      </c>
      <c r="C98" s="8" t="n">
        <v>0</v>
      </c>
      <c r="D98" s="8" t="n">
        <v>1</v>
      </c>
      <c r="E98" s="8" t="n">
        <v>0</v>
      </c>
      <c r="F98" s="8" t="inlineStr">
        <is>
          <t>atk</t>
        </is>
      </c>
    </row>
    <row r="99">
      <c r="A99" s="12" t="inlineStr">
        <is>
          <t>MIR</t>
        </is>
      </c>
      <c r="B99" s="12" t="inlineStr">
        <is>
          <t>Split</t>
        </is>
      </c>
      <c r="C99" s="12" t="n">
        <v>1</v>
      </c>
      <c r="D99" s="12" t="n">
        <v>0</v>
      </c>
      <c r="E99" s="12" t="n">
        <v>1</v>
      </c>
      <c r="F99" s="12" t="inlineStr">
        <is>
          <t>def</t>
        </is>
      </c>
    </row>
    <row r="100">
      <c r="A100" s="8" t="inlineStr">
        <is>
          <t>Mandatory</t>
        </is>
      </c>
      <c r="B100" s="8" t="inlineStr">
        <is>
          <t>Abyss</t>
        </is>
      </c>
      <c r="C100" s="8" t="n">
        <v>3</v>
      </c>
      <c r="D100" s="8" t="n">
        <v>0</v>
      </c>
      <c r="E100" s="8" t="n">
        <v>1</v>
      </c>
      <c r="F100" s="8" t="inlineStr">
        <is>
          <t>atk</t>
        </is>
      </c>
    </row>
    <row r="101">
      <c r="A101" s="12" t="inlineStr">
        <is>
          <t>Mandatory</t>
        </is>
      </c>
      <c r="B101" s="12" t="inlineStr">
        <is>
          <t>Abyss</t>
        </is>
      </c>
      <c r="C101" s="12" t="n">
        <v>1</v>
      </c>
      <c r="D101" s="12" t="n">
        <v>2</v>
      </c>
      <c r="E101" s="12" t="n">
        <v>0.33</v>
      </c>
      <c r="F101" s="12" t="inlineStr">
        <is>
          <t>def</t>
        </is>
      </c>
    </row>
    <row r="102">
      <c r="A102" s="8" t="inlineStr">
        <is>
          <t>Mandatory</t>
        </is>
      </c>
      <c r="B102" s="8" t="inlineStr">
        <is>
          <t>Bind</t>
        </is>
      </c>
      <c r="C102" s="8" t="n">
        <v>0</v>
      </c>
      <c r="D102" s="8" t="n">
        <v>1</v>
      </c>
      <c r="E102" s="8" t="n">
        <v>0</v>
      </c>
      <c r="F102" s="8" t="inlineStr">
        <is>
          <t>atk</t>
        </is>
      </c>
    </row>
    <row r="103">
      <c r="A103" s="12" t="inlineStr">
        <is>
          <t>Mandatory</t>
        </is>
      </c>
      <c r="B103" s="12" t="inlineStr">
        <is>
          <t>Bind</t>
        </is>
      </c>
      <c r="C103" s="12" t="n">
        <v>0</v>
      </c>
      <c r="D103" s="12" t="n">
        <v>1</v>
      </c>
      <c r="E103" s="12" t="n">
        <v>0</v>
      </c>
      <c r="F103" s="12" t="inlineStr">
        <is>
          <t>def</t>
        </is>
      </c>
    </row>
    <row r="104">
      <c r="A104" s="8" t="inlineStr">
        <is>
          <t>Mandatory</t>
        </is>
      </c>
      <c r="B104" s="8" t="inlineStr">
        <is>
          <t>Breeze</t>
        </is>
      </c>
      <c r="C104" s="8" t="n">
        <v>1</v>
      </c>
      <c r="D104" s="8" t="n">
        <v>3</v>
      </c>
      <c r="E104" s="8" t="n">
        <v>0.25</v>
      </c>
      <c r="F104" s="8" t="inlineStr">
        <is>
          <t>atk</t>
        </is>
      </c>
    </row>
    <row r="105">
      <c r="A105" s="12" t="inlineStr">
        <is>
          <t>Mandatory</t>
        </is>
      </c>
      <c r="B105" s="12" t="inlineStr">
        <is>
          <t>Breeze</t>
        </is>
      </c>
      <c r="C105" s="12" t="n">
        <v>4</v>
      </c>
      <c r="D105" s="12" t="n">
        <v>0</v>
      </c>
      <c r="E105" s="12" t="n">
        <v>1</v>
      </c>
      <c r="F105" s="12" t="inlineStr">
        <is>
          <t>def</t>
        </is>
      </c>
    </row>
    <row r="106">
      <c r="A106" s="8" t="inlineStr">
        <is>
          <t>Mandatory</t>
        </is>
      </c>
      <c r="B106" s="8" t="inlineStr">
        <is>
          <t>Corrode</t>
        </is>
      </c>
      <c r="C106" s="8" t="n">
        <v>3</v>
      </c>
      <c r="D106" s="8" t="n">
        <v>4</v>
      </c>
      <c r="E106" s="8" t="n">
        <v>0.43</v>
      </c>
      <c r="F106" s="8" t="inlineStr">
        <is>
          <t>atk</t>
        </is>
      </c>
    </row>
    <row r="107">
      <c r="A107" s="12" t="inlineStr">
        <is>
          <t>Mandatory</t>
        </is>
      </c>
      <c r="B107" s="12" t="inlineStr">
        <is>
          <t>Corrode</t>
        </is>
      </c>
      <c r="C107" s="12" t="n">
        <v>3</v>
      </c>
      <c r="D107" s="12" t="n">
        <v>4</v>
      </c>
      <c r="E107" s="12" t="n">
        <v>0.43</v>
      </c>
      <c r="F107" s="12" t="inlineStr">
        <is>
          <t>def</t>
        </is>
      </c>
    </row>
    <row r="108">
      <c r="A108" s="8" t="inlineStr">
        <is>
          <t>Mandatory</t>
        </is>
      </c>
      <c r="B108" s="8" t="inlineStr">
        <is>
          <t>Haven</t>
        </is>
      </c>
      <c r="C108" s="8" t="n">
        <v>5</v>
      </c>
      <c r="D108" s="8" t="n">
        <v>3</v>
      </c>
      <c r="E108" s="8" t="n">
        <v>0.62</v>
      </c>
      <c r="F108" s="8" t="inlineStr">
        <is>
          <t>atk</t>
        </is>
      </c>
    </row>
    <row r="109">
      <c r="A109" s="12" t="inlineStr">
        <is>
          <t>Mandatory</t>
        </is>
      </c>
      <c r="B109" s="12" t="inlineStr">
        <is>
          <t>Haven</t>
        </is>
      </c>
      <c r="C109" s="12" t="n">
        <v>7</v>
      </c>
      <c r="D109" s="12" t="n">
        <v>1</v>
      </c>
      <c r="E109" s="12" t="n">
        <v>0.88</v>
      </c>
      <c r="F109" s="12" t="inlineStr">
        <is>
          <t>def</t>
        </is>
      </c>
    </row>
    <row r="110">
      <c r="A110" s="8" t="inlineStr">
        <is>
          <t>Mandatory</t>
        </is>
      </c>
      <c r="B110" s="8" t="inlineStr">
        <is>
          <t>Pearl</t>
        </is>
      </c>
      <c r="C110" s="8" t="n">
        <v>1</v>
      </c>
      <c r="D110" s="8" t="n">
        <v>2</v>
      </c>
      <c r="E110" s="8" t="n">
        <v>0.33</v>
      </c>
      <c r="F110" s="8" t="inlineStr">
        <is>
          <t>atk</t>
        </is>
      </c>
    </row>
    <row r="111">
      <c r="A111" s="12" t="inlineStr">
        <is>
          <t>Mandatory</t>
        </is>
      </c>
      <c r="B111" s="12" t="inlineStr">
        <is>
          <t>Pearl</t>
        </is>
      </c>
      <c r="C111" s="12" t="n">
        <v>0</v>
      </c>
      <c r="D111" s="12" t="n">
        <v>3</v>
      </c>
      <c r="E111" s="12" t="n">
        <v>0</v>
      </c>
      <c r="F111" s="12" t="inlineStr">
        <is>
          <t>def</t>
        </is>
      </c>
    </row>
    <row r="112">
      <c r="A112" s="8" t="inlineStr">
        <is>
          <t>Mandatory</t>
        </is>
      </c>
      <c r="B112" s="8" t="inlineStr">
        <is>
          <t>Split</t>
        </is>
      </c>
      <c r="C112" s="8" t="n">
        <v>3</v>
      </c>
      <c r="D112" s="8" t="n">
        <v>1</v>
      </c>
      <c r="E112" s="8" t="n">
        <v>0.75</v>
      </c>
      <c r="F112" s="8" t="inlineStr">
        <is>
          <t>atk</t>
        </is>
      </c>
    </row>
    <row r="113">
      <c r="A113" s="12" t="inlineStr">
        <is>
          <t>Mandatory</t>
        </is>
      </c>
      <c r="B113" s="12" t="inlineStr">
        <is>
          <t>Split</t>
        </is>
      </c>
      <c r="C113" s="12" t="n">
        <v>2</v>
      </c>
      <c r="D113" s="12" t="n">
        <v>2</v>
      </c>
      <c r="E113" s="12" t="n">
        <v>0.5</v>
      </c>
      <c r="F113" s="12" t="inlineStr">
        <is>
          <t>def</t>
        </is>
      </c>
    </row>
    <row r="114">
      <c r="A114" s="8" t="inlineStr">
        <is>
          <t>Misa Esports</t>
        </is>
      </c>
      <c r="B114" s="8" t="inlineStr">
        <is>
          <t>Abyss</t>
        </is>
      </c>
      <c r="C114" s="8" t="n">
        <v>3</v>
      </c>
      <c r="D114" s="8" t="n">
        <v>0</v>
      </c>
      <c r="E114" s="8" t="n">
        <v>1</v>
      </c>
      <c r="F114" s="8" t="inlineStr">
        <is>
          <t>atk</t>
        </is>
      </c>
    </row>
    <row r="115">
      <c r="A115" s="12" t="inlineStr">
        <is>
          <t>Misa Esports</t>
        </is>
      </c>
      <c r="B115" s="12" t="inlineStr">
        <is>
          <t>Abyss</t>
        </is>
      </c>
      <c r="C115" s="12" t="n">
        <v>2</v>
      </c>
      <c r="D115" s="12" t="n">
        <v>1</v>
      </c>
      <c r="E115" s="12" t="n">
        <v>0.67</v>
      </c>
      <c r="F115" s="12" t="inlineStr">
        <is>
          <t>def</t>
        </is>
      </c>
    </row>
    <row r="116">
      <c r="A116" s="8" t="inlineStr">
        <is>
          <t>Misa Esports</t>
        </is>
      </c>
      <c r="B116" s="8" t="inlineStr">
        <is>
          <t>Bind</t>
        </is>
      </c>
      <c r="C116" s="8" t="n">
        <v>1</v>
      </c>
      <c r="D116" s="8" t="n">
        <v>0</v>
      </c>
      <c r="E116" s="8" t="n">
        <v>1</v>
      </c>
      <c r="F116" s="8" t="inlineStr">
        <is>
          <t>atk</t>
        </is>
      </c>
    </row>
    <row r="117">
      <c r="A117" s="12" t="inlineStr">
        <is>
          <t>Misa Esports</t>
        </is>
      </c>
      <c r="B117" s="12" t="inlineStr">
        <is>
          <t>Bind</t>
        </is>
      </c>
      <c r="C117" s="12" t="n">
        <v>1</v>
      </c>
      <c r="D117" s="12" t="n">
        <v>0</v>
      </c>
      <c r="E117" s="12" t="n">
        <v>1</v>
      </c>
      <c r="F117" s="12" t="inlineStr">
        <is>
          <t>def</t>
        </is>
      </c>
    </row>
    <row r="118">
      <c r="A118" s="8" t="inlineStr">
        <is>
          <t>Misa Esports</t>
        </is>
      </c>
      <c r="B118" s="8" t="inlineStr">
        <is>
          <t>Breeze</t>
        </is>
      </c>
      <c r="C118" s="8" t="n">
        <v>1</v>
      </c>
      <c r="D118" s="8" t="n">
        <v>1</v>
      </c>
      <c r="E118" s="8" t="n">
        <v>0.5</v>
      </c>
      <c r="F118" s="8" t="inlineStr">
        <is>
          <t>atk</t>
        </is>
      </c>
    </row>
    <row r="119">
      <c r="A119" s="12" t="inlineStr">
        <is>
          <t>Misa Esports</t>
        </is>
      </c>
      <c r="B119" s="12" t="inlineStr">
        <is>
          <t>Breeze</t>
        </is>
      </c>
      <c r="C119" s="12" t="n">
        <v>0</v>
      </c>
      <c r="D119" s="12" t="n">
        <v>2</v>
      </c>
      <c r="E119" s="12" t="n">
        <v>0</v>
      </c>
      <c r="F119" s="12" t="inlineStr">
        <is>
          <t>def</t>
        </is>
      </c>
    </row>
    <row r="120">
      <c r="A120" s="8" t="inlineStr">
        <is>
          <t>Misa Esports</t>
        </is>
      </c>
      <c r="B120" s="8" t="inlineStr">
        <is>
          <t>Corrode</t>
        </is>
      </c>
      <c r="C120" s="8" t="n">
        <v>2</v>
      </c>
      <c r="D120" s="8" t="n">
        <v>2</v>
      </c>
      <c r="E120" s="8" t="n">
        <v>0.5</v>
      </c>
      <c r="F120" s="8" t="inlineStr">
        <is>
          <t>atk</t>
        </is>
      </c>
    </row>
    <row r="121">
      <c r="A121" s="12" t="inlineStr">
        <is>
          <t>Misa Esports</t>
        </is>
      </c>
      <c r="B121" s="12" t="inlineStr">
        <is>
          <t>Corrode</t>
        </is>
      </c>
      <c r="C121" s="12" t="n">
        <v>1</v>
      </c>
      <c r="D121" s="12" t="n">
        <v>2</v>
      </c>
      <c r="E121" s="12" t="n">
        <v>0.33</v>
      </c>
      <c r="F121" s="12" t="inlineStr">
        <is>
          <t>def</t>
        </is>
      </c>
    </row>
    <row r="122">
      <c r="A122" s="8" t="inlineStr">
        <is>
          <t>Misa Esports</t>
        </is>
      </c>
      <c r="B122" s="8" t="inlineStr">
        <is>
          <t>Haven</t>
        </is>
      </c>
      <c r="C122" s="8" t="n">
        <v>4</v>
      </c>
      <c r="D122" s="8" t="n">
        <v>2</v>
      </c>
      <c r="E122" s="8" t="n">
        <v>0.67</v>
      </c>
      <c r="F122" s="8" t="inlineStr">
        <is>
          <t>atk</t>
        </is>
      </c>
    </row>
    <row r="123">
      <c r="A123" s="12" t="inlineStr">
        <is>
          <t>Misa Esports</t>
        </is>
      </c>
      <c r="B123" s="12" t="inlineStr">
        <is>
          <t>Haven</t>
        </is>
      </c>
      <c r="C123" s="12" t="n">
        <v>3</v>
      </c>
      <c r="D123" s="12" t="n">
        <v>3</v>
      </c>
      <c r="E123" s="12" t="n">
        <v>0.5</v>
      </c>
      <c r="F123" s="12" t="inlineStr">
        <is>
          <t>def</t>
        </is>
      </c>
    </row>
    <row r="124">
      <c r="A124" s="8" t="inlineStr">
        <is>
          <t>Misa Esports</t>
        </is>
      </c>
      <c r="B124" s="8" t="inlineStr">
        <is>
          <t>Pearl</t>
        </is>
      </c>
      <c r="C124" s="8" t="n">
        <v>1</v>
      </c>
      <c r="D124" s="8" t="n">
        <v>2</v>
      </c>
      <c r="E124" s="8" t="n">
        <v>0.33</v>
      </c>
      <c r="F124" s="8" t="inlineStr">
        <is>
          <t>atk</t>
        </is>
      </c>
    </row>
    <row r="125">
      <c r="A125" s="12" t="inlineStr">
        <is>
          <t>Misa Esports</t>
        </is>
      </c>
      <c r="B125" s="12" t="inlineStr">
        <is>
          <t>Pearl</t>
        </is>
      </c>
      <c r="C125" s="12" t="n">
        <v>2</v>
      </c>
      <c r="D125" s="12" t="n">
        <v>1</v>
      </c>
      <c r="E125" s="12" t="n">
        <v>0.67</v>
      </c>
      <c r="F125" s="12" t="inlineStr">
        <is>
          <t>def</t>
        </is>
      </c>
    </row>
    <row r="126">
      <c r="A126" s="8" t="inlineStr">
        <is>
          <t>Misa Esports</t>
        </is>
      </c>
      <c r="B126" s="8" t="inlineStr">
        <is>
          <t>Split</t>
        </is>
      </c>
      <c r="C126" s="8" t="n">
        <v>4</v>
      </c>
      <c r="D126" s="8" t="n">
        <v>1</v>
      </c>
      <c r="E126" s="8" t="n">
        <v>0.8</v>
      </c>
      <c r="F126" s="8" t="inlineStr">
        <is>
          <t>atk</t>
        </is>
      </c>
    </row>
    <row r="127">
      <c r="A127" s="12" t="inlineStr">
        <is>
          <t>Misa Esports</t>
        </is>
      </c>
      <c r="B127" s="12" t="inlineStr">
        <is>
          <t>Split</t>
        </is>
      </c>
      <c r="C127" s="12" t="n">
        <v>3</v>
      </c>
      <c r="D127" s="12" t="n">
        <v>2</v>
      </c>
      <c r="E127" s="12" t="n">
        <v>0.6</v>
      </c>
      <c r="F127" s="12" t="inlineStr">
        <is>
          <t>def</t>
        </is>
      </c>
    </row>
    <row r="128">
      <c r="A128" s="8" t="inlineStr">
        <is>
          <t>Pixel Lumina</t>
        </is>
      </c>
      <c r="B128" s="8" t="inlineStr">
        <is>
          <t>Bind</t>
        </is>
      </c>
      <c r="C128" s="8" t="n">
        <v>2</v>
      </c>
      <c r="D128" s="8" t="n">
        <v>1</v>
      </c>
      <c r="E128" s="8" t="n">
        <v>0.67</v>
      </c>
      <c r="F128" s="8" t="inlineStr">
        <is>
          <t>atk</t>
        </is>
      </c>
    </row>
    <row r="129">
      <c r="A129" s="12" t="inlineStr">
        <is>
          <t>Pixel Lumina</t>
        </is>
      </c>
      <c r="B129" s="12" t="inlineStr">
        <is>
          <t>Bind</t>
        </is>
      </c>
      <c r="C129" s="12" t="n">
        <v>2</v>
      </c>
      <c r="D129" s="12" t="n">
        <v>1</v>
      </c>
      <c r="E129" s="12" t="n">
        <v>0.67</v>
      </c>
      <c r="F129" s="12" t="inlineStr">
        <is>
          <t>def</t>
        </is>
      </c>
    </row>
    <row r="130">
      <c r="A130" s="8" t="inlineStr">
        <is>
          <t>Pixel Lumina</t>
        </is>
      </c>
      <c r="B130" s="8" t="inlineStr">
        <is>
          <t>Breeze</t>
        </is>
      </c>
      <c r="C130" s="8" t="n">
        <v>0</v>
      </c>
      <c r="D130" s="8" t="n">
        <v>2</v>
      </c>
      <c r="E130" s="8" t="n">
        <v>0</v>
      </c>
      <c r="F130" s="8" t="inlineStr">
        <is>
          <t>atk</t>
        </is>
      </c>
    </row>
    <row r="131">
      <c r="A131" s="12" t="inlineStr">
        <is>
          <t>Pixel Lumina</t>
        </is>
      </c>
      <c r="B131" s="12" t="inlineStr">
        <is>
          <t>Breeze</t>
        </is>
      </c>
      <c r="C131" s="12" t="n">
        <v>1</v>
      </c>
      <c r="D131" s="12" t="n">
        <v>1</v>
      </c>
      <c r="E131" s="12" t="n">
        <v>0.5</v>
      </c>
      <c r="F131" s="12" t="inlineStr">
        <is>
          <t>def</t>
        </is>
      </c>
    </row>
    <row r="132">
      <c r="A132" s="8" t="inlineStr">
        <is>
          <t>Pixel Lumina</t>
        </is>
      </c>
      <c r="B132" s="8" t="inlineStr">
        <is>
          <t>Pearl</t>
        </is>
      </c>
      <c r="C132" s="8" t="n">
        <v>1</v>
      </c>
      <c r="D132" s="8" t="n">
        <v>1</v>
      </c>
      <c r="E132" s="8" t="n">
        <v>0.5</v>
      </c>
      <c r="F132" s="8" t="inlineStr">
        <is>
          <t>atk</t>
        </is>
      </c>
    </row>
    <row r="133">
      <c r="A133" s="12" t="inlineStr">
        <is>
          <t>Pixel Lumina</t>
        </is>
      </c>
      <c r="B133" s="12" t="inlineStr">
        <is>
          <t>Pearl</t>
        </is>
      </c>
      <c r="C133" s="12" t="n">
        <v>0</v>
      </c>
      <c r="D133" s="12" t="n">
        <v>2</v>
      </c>
      <c r="E133" s="12" t="n">
        <v>0</v>
      </c>
      <c r="F133" s="12" t="inlineStr">
        <is>
          <t>def</t>
        </is>
      </c>
    </row>
    <row r="134">
      <c r="A134" s="8" t="inlineStr">
        <is>
          <t>Pixel Lumina</t>
        </is>
      </c>
      <c r="B134" s="8" t="inlineStr">
        <is>
          <t>Split</t>
        </is>
      </c>
      <c r="C134" s="8" t="n">
        <v>2</v>
      </c>
      <c r="D134" s="8" t="n">
        <v>3</v>
      </c>
      <c r="E134" s="8" t="n">
        <v>0.4</v>
      </c>
      <c r="F134" s="8" t="inlineStr">
        <is>
          <t>atk</t>
        </is>
      </c>
    </row>
    <row r="135">
      <c r="A135" s="12" t="inlineStr">
        <is>
          <t>Pixel Lumina</t>
        </is>
      </c>
      <c r="B135" s="12" t="inlineStr">
        <is>
          <t>Split</t>
        </is>
      </c>
      <c r="C135" s="12" t="n">
        <v>3</v>
      </c>
      <c r="D135" s="12" t="n">
        <v>2</v>
      </c>
      <c r="E135" s="12" t="n">
        <v>0.6</v>
      </c>
      <c r="F135" s="12" t="inlineStr">
        <is>
          <t>def</t>
        </is>
      </c>
    </row>
    <row r="136">
      <c r="A136" s="8" t="inlineStr">
        <is>
          <t>S2G Esports</t>
        </is>
      </c>
      <c r="B136" s="8" t="inlineStr">
        <is>
          <t>Abyss</t>
        </is>
      </c>
      <c r="C136" s="8" t="n">
        <v>3</v>
      </c>
      <c r="D136" s="8" t="n">
        <v>3</v>
      </c>
      <c r="E136" s="8" t="n">
        <v>0.5</v>
      </c>
      <c r="F136" s="8" t="inlineStr">
        <is>
          <t>atk</t>
        </is>
      </c>
    </row>
    <row r="137">
      <c r="A137" s="12" t="inlineStr">
        <is>
          <t>S2G Esports</t>
        </is>
      </c>
      <c r="B137" s="12" t="inlineStr">
        <is>
          <t>Abyss</t>
        </is>
      </c>
      <c r="C137" s="12" t="n">
        <v>6</v>
      </c>
      <c r="D137" s="12" t="n">
        <v>0</v>
      </c>
      <c r="E137" s="12" t="n">
        <v>1</v>
      </c>
      <c r="F137" s="12" t="inlineStr">
        <is>
          <t>def</t>
        </is>
      </c>
    </row>
    <row r="138">
      <c r="A138" s="8" t="inlineStr">
        <is>
          <t>S2G Esports</t>
        </is>
      </c>
      <c r="B138" s="8" t="inlineStr">
        <is>
          <t>Bind</t>
        </is>
      </c>
      <c r="C138" s="8" t="n">
        <v>1</v>
      </c>
      <c r="D138" s="8" t="n">
        <v>0</v>
      </c>
      <c r="E138" s="8" t="n">
        <v>1</v>
      </c>
      <c r="F138" s="8" t="inlineStr">
        <is>
          <t>atk</t>
        </is>
      </c>
    </row>
    <row r="139">
      <c r="A139" s="12" t="inlineStr">
        <is>
          <t>S2G Esports</t>
        </is>
      </c>
      <c r="B139" s="12" t="inlineStr">
        <is>
          <t>Bind</t>
        </is>
      </c>
      <c r="C139" s="12" t="n">
        <v>1</v>
      </c>
      <c r="D139" s="12" t="n">
        <v>0</v>
      </c>
      <c r="E139" s="12" t="n">
        <v>1</v>
      </c>
      <c r="F139" s="12" t="inlineStr">
        <is>
          <t>def</t>
        </is>
      </c>
    </row>
    <row r="140">
      <c r="A140" s="8" t="inlineStr">
        <is>
          <t>S2G Esports</t>
        </is>
      </c>
      <c r="B140" s="8" t="inlineStr">
        <is>
          <t>Breeze</t>
        </is>
      </c>
      <c r="C140" s="8" t="n">
        <v>5</v>
      </c>
      <c r="D140" s="8" t="n">
        <v>1</v>
      </c>
      <c r="E140" s="8" t="n">
        <v>0.83</v>
      </c>
      <c r="F140" s="8" t="inlineStr">
        <is>
          <t>atk</t>
        </is>
      </c>
    </row>
    <row r="141">
      <c r="A141" s="12" t="inlineStr">
        <is>
          <t>S2G Esports</t>
        </is>
      </c>
      <c r="B141" s="12" t="inlineStr">
        <is>
          <t>Breeze</t>
        </is>
      </c>
      <c r="C141" s="12" t="n">
        <v>3</v>
      </c>
      <c r="D141" s="12" t="n">
        <v>3</v>
      </c>
      <c r="E141" s="12" t="n">
        <v>0.5</v>
      </c>
      <c r="F141" s="12" t="inlineStr">
        <is>
          <t>def</t>
        </is>
      </c>
    </row>
    <row r="142">
      <c r="A142" s="8" t="inlineStr">
        <is>
          <t>S2G Esports</t>
        </is>
      </c>
      <c r="B142" s="8" t="inlineStr">
        <is>
          <t>Corrode</t>
        </is>
      </c>
      <c r="C142" s="8" t="n">
        <v>3</v>
      </c>
      <c r="D142" s="8" t="n">
        <v>1</v>
      </c>
      <c r="E142" s="8" t="n">
        <v>0.75</v>
      </c>
      <c r="F142" s="8" t="inlineStr">
        <is>
          <t>atk</t>
        </is>
      </c>
    </row>
    <row r="143">
      <c r="A143" s="12" t="inlineStr">
        <is>
          <t>S2G Esports</t>
        </is>
      </c>
      <c r="B143" s="12" t="inlineStr">
        <is>
          <t>Corrode</t>
        </is>
      </c>
      <c r="C143" s="12" t="n">
        <v>2</v>
      </c>
      <c r="D143" s="12" t="n">
        <v>2</v>
      </c>
      <c r="E143" s="12" t="n">
        <v>0.5</v>
      </c>
      <c r="F143" s="12" t="inlineStr">
        <is>
          <t>def</t>
        </is>
      </c>
    </row>
    <row r="144">
      <c r="A144" s="8" t="inlineStr">
        <is>
          <t>S2G Esports</t>
        </is>
      </c>
      <c r="B144" s="8" t="inlineStr">
        <is>
          <t>Haven</t>
        </is>
      </c>
      <c r="C144" s="8" t="n">
        <v>4</v>
      </c>
      <c r="D144" s="8" t="n">
        <v>0</v>
      </c>
      <c r="E144" s="8" t="n">
        <v>1</v>
      </c>
      <c r="F144" s="8" t="inlineStr">
        <is>
          <t>atk</t>
        </is>
      </c>
    </row>
    <row r="145">
      <c r="A145" s="12" t="inlineStr">
        <is>
          <t>S2G Esports</t>
        </is>
      </c>
      <c r="B145" s="12" t="inlineStr">
        <is>
          <t>Haven</t>
        </is>
      </c>
      <c r="C145" s="12" t="n">
        <v>2</v>
      </c>
      <c r="D145" s="12" t="n">
        <v>2</v>
      </c>
      <c r="E145" s="12" t="n">
        <v>0.5</v>
      </c>
      <c r="F145" s="12" t="inlineStr">
        <is>
          <t>def</t>
        </is>
      </c>
    </row>
    <row r="146">
      <c r="A146" s="8" t="inlineStr">
        <is>
          <t>S2G Esports</t>
        </is>
      </c>
      <c r="B146" s="8" t="inlineStr">
        <is>
          <t>Pearl</t>
        </is>
      </c>
      <c r="C146" s="8" t="n">
        <v>2</v>
      </c>
      <c r="D146" s="8" t="n">
        <v>2</v>
      </c>
      <c r="E146" s="8" t="n">
        <v>0.5</v>
      </c>
      <c r="F146" s="8" t="inlineStr">
        <is>
          <t>atk</t>
        </is>
      </c>
    </row>
    <row r="147">
      <c r="A147" s="12" t="inlineStr">
        <is>
          <t>S2G Esports</t>
        </is>
      </c>
      <c r="B147" s="12" t="inlineStr">
        <is>
          <t>Pearl</t>
        </is>
      </c>
      <c r="C147" s="12" t="n">
        <v>3</v>
      </c>
      <c r="D147" s="12" t="n">
        <v>1</v>
      </c>
      <c r="E147" s="12" t="n">
        <v>0.75</v>
      </c>
      <c r="F147" s="12" t="inlineStr">
        <is>
          <t>def</t>
        </is>
      </c>
    </row>
    <row r="148">
      <c r="A148" s="8" t="inlineStr">
        <is>
          <t>S2G Esports</t>
        </is>
      </c>
      <c r="B148" s="8" t="inlineStr">
        <is>
          <t>Split</t>
        </is>
      </c>
      <c r="C148" s="8" t="n">
        <v>1</v>
      </c>
      <c r="D148" s="8" t="n">
        <v>3</v>
      </c>
      <c r="E148" s="8" t="n">
        <v>0.25</v>
      </c>
      <c r="F148" s="8" t="inlineStr">
        <is>
          <t>atk</t>
        </is>
      </c>
    </row>
    <row r="149">
      <c r="A149" s="12" t="inlineStr">
        <is>
          <t>S2G Esports</t>
        </is>
      </c>
      <c r="B149" s="12" t="inlineStr">
        <is>
          <t>Split</t>
        </is>
      </c>
      <c r="C149" s="12" t="n">
        <v>2</v>
      </c>
      <c r="D149" s="12" t="n">
        <v>2</v>
      </c>
      <c r="E149" s="12" t="n">
        <v>0.5</v>
      </c>
      <c r="F149" s="12" t="inlineStr">
        <is>
          <t>def</t>
        </is>
      </c>
    </row>
    <row r="150">
      <c r="A150" s="8" t="inlineStr">
        <is>
          <t>Stallions Esports</t>
        </is>
      </c>
      <c r="B150" s="8" t="inlineStr">
        <is>
          <t>Abyss</t>
        </is>
      </c>
      <c r="C150" s="8" t="n">
        <v>4</v>
      </c>
      <c r="D150" s="8" t="n">
        <v>1</v>
      </c>
      <c r="E150" s="8" t="n">
        <v>0.8</v>
      </c>
      <c r="F150" s="8" t="inlineStr">
        <is>
          <t>atk</t>
        </is>
      </c>
    </row>
    <row r="151">
      <c r="A151" s="12" t="inlineStr">
        <is>
          <t>Stallions Esports</t>
        </is>
      </c>
      <c r="B151" s="12" t="inlineStr">
        <is>
          <t>Abyss</t>
        </is>
      </c>
      <c r="C151" s="12" t="n">
        <v>4</v>
      </c>
      <c r="D151" s="12" t="n">
        <v>1</v>
      </c>
      <c r="E151" s="12" t="n">
        <v>0.8</v>
      </c>
      <c r="F151" s="12" t="inlineStr">
        <is>
          <t>def</t>
        </is>
      </c>
    </row>
    <row r="152">
      <c r="A152" s="8" t="inlineStr">
        <is>
          <t>Stallions Esports</t>
        </is>
      </c>
      <c r="B152" s="8" t="inlineStr">
        <is>
          <t>Ascent</t>
        </is>
      </c>
      <c r="C152" s="8" t="n">
        <v>2</v>
      </c>
      <c r="D152" s="8" t="n">
        <v>1</v>
      </c>
      <c r="E152" s="8" t="n">
        <v>0.67</v>
      </c>
      <c r="F152" s="8" t="inlineStr">
        <is>
          <t>atk</t>
        </is>
      </c>
    </row>
    <row r="153">
      <c r="A153" s="12" t="inlineStr">
        <is>
          <t>Stallions Esports</t>
        </is>
      </c>
      <c r="B153" s="12" t="inlineStr">
        <is>
          <t>Ascent</t>
        </is>
      </c>
      <c r="C153" s="12" t="n">
        <v>2</v>
      </c>
      <c r="D153" s="12" t="n">
        <v>0</v>
      </c>
      <c r="E153" s="12" t="n">
        <v>1</v>
      </c>
      <c r="F153" s="12" t="inlineStr">
        <is>
          <t>def</t>
        </is>
      </c>
    </row>
    <row r="154">
      <c r="A154" s="8" t="inlineStr">
        <is>
          <t>Stallions Esports</t>
        </is>
      </c>
      <c r="B154" s="8" t="inlineStr">
        <is>
          <t>Bind</t>
        </is>
      </c>
      <c r="C154" s="8" t="n">
        <v>2</v>
      </c>
      <c r="D154" s="8" t="n">
        <v>2</v>
      </c>
      <c r="E154" s="8" t="n">
        <v>0.5</v>
      </c>
      <c r="F154" s="8" t="inlineStr">
        <is>
          <t>atk</t>
        </is>
      </c>
    </row>
    <row r="155">
      <c r="A155" s="12" t="inlineStr">
        <is>
          <t>Stallions Esports</t>
        </is>
      </c>
      <c r="B155" s="12" t="inlineStr">
        <is>
          <t>Bind</t>
        </is>
      </c>
      <c r="C155" s="12" t="n">
        <v>3</v>
      </c>
      <c r="D155" s="12" t="n">
        <v>1</v>
      </c>
      <c r="E155" s="12" t="n">
        <v>0.75</v>
      </c>
      <c r="F155" s="12" t="inlineStr">
        <is>
          <t>def</t>
        </is>
      </c>
    </row>
    <row r="156">
      <c r="A156" s="8" t="inlineStr">
        <is>
          <t>Stallions Esports</t>
        </is>
      </c>
      <c r="B156" s="8" t="inlineStr">
        <is>
          <t>Breeze</t>
        </is>
      </c>
      <c r="C156" s="8" t="n">
        <v>2</v>
      </c>
      <c r="D156" s="8" t="n">
        <v>0</v>
      </c>
      <c r="E156" s="8" t="n">
        <v>1</v>
      </c>
      <c r="F156" s="8" t="inlineStr">
        <is>
          <t>atk</t>
        </is>
      </c>
    </row>
    <row r="157">
      <c r="A157" s="12" t="inlineStr">
        <is>
          <t>Stallions Esports</t>
        </is>
      </c>
      <c r="B157" s="12" t="inlineStr">
        <is>
          <t>Breeze</t>
        </is>
      </c>
      <c r="C157" s="12" t="n">
        <v>1</v>
      </c>
      <c r="D157" s="12" t="n">
        <v>1</v>
      </c>
      <c r="E157" s="12" t="n">
        <v>0.5</v>
      </c>
      <c r="F157" s="12" t="inlineStr">
        <is>
          <t>def</t>
        </is>
      </c>
    </row>
    <row r="158">
      <c r="A158" s="8" t="inlineStr">
        <is>
          <t>Stallions Esports</t>
        </is>
      </c>
      <c r="B158" s="8" t="inlineStr">
        <is>
          <t>Corrode</t>
        </is>
      </c>
      <c r="C158" s="8" t="n">
        <v>3</v>
      </c>
      <c r="D158" s="8" t="n">
        <v>5</v>
      </c>
      <c r="E158" s="8" t="n">
        <v>0.38</v>
      </c>
      <c r="F158" s="8" t="inlineStr">
        <is>
          <t>atk</t>
        </is>
      </c>
    </row>
    <row r="159">
      <c r="A159" s="12" t="inlineStr">
        <is>
          <t>Stallions Esports</t>
        </is>
      </c>
      <c r="B159" s="12" t="inlineStr">
        <is>
          <t>Corrode</t>
        </is>
      </c>
      <c r="C159" s="12" t="n">
        <v>4</v>
      </c>
      <c r="D159" s="12" t="n">
        <v>4</v>
      </c>
      <c r="E159" s="12" t="n">
        <v>0.5</v>
      </c>
      <c r="F159" s="12" t="inlineStr">
        <is>
          <t>def</t>
        </is>
      </c>
    </row>
    <row r="160">
      <c r="A160" s="8" t="inlineStr">
        <is>
          <t>Stallions Esports</t>
        </is>
      </c>
      <c r="B160" s="8" t="inlineStr">
        <is>
          <t>Split</t>
        </is>
      </c>
      <c r="C160" s="8" t="n">
        <v>5</v>
      </c>
      <c r="D160" s="8" t="n">
        <v>3</v>
      </c>
      <c r="E160" s="8" t="n">
        <v>0.62</v>
      </c>
      <c r="F160" s="8" t="inlineStr">
        <is>
          <t>atk</t>
        </is>
      </c>
    </row>
    <row r="161">
      <c r="A161" s="12" t="inlineStr">
        <is>
          <t>Stallions Esports</t>
        </is>
      </c>
      <c r="B161" s="12" t="inlineStr">
        <is>
          <t>Split</t>
        </is>
      </c>
      <c r="C161" s="12" t="n">
        <v>3</v>
      </c>
      <c r="D161" s="12" t="n">
        <v>5</v>
      </c>
      <c r="E161" s="12" t="n">
        <v>0.38</v>
      </c>
      <c r="F161" s="12" t="inlineStr">
        <is>
          <t>def</t>
        </is>
      </c>
    </row>
    <row r="162">
      <c r="A162" s="8" t="inlineStr">
        <is>
          <t>Stallions Esports</t>
        </is>
      </c>
      <c r="B162" s="8" t="inlineStr">
        <is>
          <t>Sunset</t>
        </is>
      </c>
      <c r="C162" s="8" t="n">
        <v>1</v>
      </c>
      <c r="D162" s="8" t="n">
        <v>0</v>
      </c>
      <c r="E162" s="8" t="n">
        <v>1</v>
      </c>
      <c r="F162" s="8" t="inlineStr">
        <is>
          <t>atk</t>
        </is>
      </c>
    </row>
    <row r="163">
      <c r="A163" s="12" t="inlineStr">
        <is>
          <t>Stallions Esports</t>
        </is>
      </c>
      <c r="B163" s="12" t="inlineStr">
        <is>
          <t>Sunset</t>
        </is>
      </c>
      <c r="C163" s="12" t="n">
        <v>1</v>
      </c>
      <c r="D163" s="12" t="n">
        <v>0</v>
      </c>
      <c r="E163" s="12" t="n">
        <v>1</v>
      </c>
      <c r="F163" s="12" t="inlineStr">
        <is>
          <t>def</t>
        </is>
      </c>
    </row>
    <row r="164">
      <c r="A164" s="8" t="inlineStr">
        <is>
          <t>Team Liquid Academy</t>
        </is>
      </c>
      <c r="B164" s="8" t="inlineStr">
        <is>
          <t>Abyss</t>
        </is>
      </c>
      <c r="C164" s="8" t="n">
        <v>0</v>
      </c>
      <c r="D164" s="8" t="n">
        <v>1</v>
      </c>
      <c r="E164" s="8" t="n">
        <v>0</v>
      </c>
      <c r="F164" s="8" t="inlineStr">
        <is>
          <t>atk</t>
        </is>
      </c>
    </row>
    <row r="165">
      <c r="A165" s="12" t="inlineStr">
        <is>
          <t>Team Liquid Academy</t>
        </is>
      </c>
      <c r="B165" s="12" t="inlineStr">
        <is>
          <t>Abyss</t>
        </is>
      </c>
      <c r="C165" s="12" t="n">
        <v>0</v>
      </c>
      <c r="D165" s="12" t="n">
        <v>1</v>
      </c>
      <c r="E165" s="12" t="n">
        <v>0</v>
      </c>
      <c r="F165" s="12" t="inlineStr">
        <is>
          <t>def</t>
        </is>
      </c>
    </row>
    <row r="166">
      <c r="A166" s="8" t="inlineStr">
        <is>
          <t>Team Liquid Academy</t>
        </is>
      </c>
      <c r="B166" s="8" t="inlineStr">
        <is>
          <t>Bind</t>
        </is>
      </c>
      <c r="C166" s="8" t="n">
        <v>0</v>
      </c>
      <c r="D166" s="8" t="n">
        <v>1</v>
      </c>
      <c r="E166" s="8" t="n">
        <v>0</v>
      </c>
      <c r="F166" s="8" t="inlineStr">
        <is>
          <t>atk</t>
        </is>
      </c>
    </row>
    <row r="167">
      <c r="A167" s="12" t="inlineStr">
        <is>
          <t>Team Liquid Academy</t>
        </is>
      </c>
      <c r="B167" s="12" t="inlineStr">
        <is>
          <t>Bind</t>
        </is>
      </c>
      <c r="C167" s="12" t="n">
        <v>1</v>
      </c>
      <c r="D167" s="12" t="n">
        <v>0</v>
      </c>
      <c r="E167" s="12" t="n">
        <v>1</v>
      </c>
      <c r="F167" s="12" t="inlineStr">
        <is>
          <t>def</t>
        </is>
      </c>
    </row>
    <row r="168">
      <c r="A168" s="8" t="inlineStr">
        <is>
          <t>Team Liquid Academy</t>
        </is>
      </c>
      <c r="B168" s="8" t="inlineStr">
        <is>
          <t>Breeze</t>
        </is>
      </c>
      <c r="C168" s="8" t="n">
        <v>2</v>
      </c>
      <c r="D168" s="8" t="n">
        <v>0</v>
      </c>
      <c r="E168" s="8" t="n">
        <v>1</v>
      </c>
      <c r="F168" s="8" t="inlineStr">
        <is>
          <t>atk</t>
        </is>
      </c>
    </row>
    <row r="169">
      <c r="A169" s="12" t="inlineStr">
        <is>
          <t>Team Liquid Academy</t>
        </is>
      </c>
      <c r="B169" s="12" t="inlineStr">
        <is>
          <t>Breeze</t>
        </is>
      </c>
      <c r="C169" s="12" t="n">
        <v>0</v>
      </c>
      <c r="D169" s="12" t="n">
        <v>2</v>
      </c>
      <c r="E169" s="12" t="n">
        <v>0</v>
      </c>
      <c r="F169" s="12" t="inlineStr">
        <is>
          <t>def</t>
        </is>
      </c>
    </row>
    <row r="170">
      <c r="A170" s="8" t="inlineStr">
        <is>
          <t>Team Liquid Academy</t>
        </is>
      </c>
      <c r="B170" s="8" t="inlineStr">
        <is>
          <t>Corrode</t>
        </is>
      </c>
      <c r="C170" s="8" t="n">
        <v>5</v>
      </c>
      <c r="D170" s="8" t="n">
        <v>6</v>
      </c>
      <c r="E170" s="8" t="n">
        <v>0.45</v>
      </c>
      <c r="F170" s="8" t="inlineStr">
        <is>
          <t>atk</t>
        </is>
      </c>
    </row>
    <row r="171">
      <c r="A171" s="12" t="inlineStr">
        <is>
          <t>Team Liquid Academy</t>
        </is>
      </c>
      <c r="B171" s="12" t="inlineStr">
        <is>
          <t>Corrode</t>
        </is>
      </c>
      <c r="C171" s="12" t="n">
        <v>7</v>
      </c>
      <c r="D171" s="12" t="n">
        <v>4</v>
      </c>
      <c r="E171" s="12" t="n">
        <v>0.64</v>
      </c>
      <c r="F171" s="12" t="inlineStr">
        <is>
          <t>def</t>
        </is>
      </c>
    </row>
    <row r="172">
      <c r="A172" s="8" t="inlineStr">
        <is>
          <t>Team Liquid Academy</t>
        </is>
      </c>
      <c r="B172" s="8" t="inlineStr">
        <is>
          <t>Haven</t>
        </is>
      </c>
      <c r="C172" s="8" t="n">
        <v>3</v>
      </c>
      <c r="D172" s="8" t="n">
        <v>1</v>
      </c>
      <c r="E172" s="8" t="n">
        <v>0.75</v>
      </c>
      <c r="F172" s="8" t="inlineStr">
        <is>
          <t>atk</t>
        </is>
      </c>
    </row>
    <row r="173">
      <c r="A173" s="12" t="inlineStr">
        <is>
          <t>Team Liquid Academy</t>
        </is>
      </c>
      <c r="B173" s="12" t="inlineStr">
        <is>
          <t>Haven</t>
        </is>
      </c>
      <c r="C173" s="12" t="n">
        <v>1</v>
      </c>
      <c r="D173" s="12" t="n">
        <v>3</v>
      </c>
      <c r="E173" s="12" t="n">
        <v>0.25</v>
      </c>
      <c r="F173" s="12" t="inlineStr">
        <is>
          <t>def</t>
        </is>
      </c>
    </row>
    <row r="174">
      <c r="A174" s="8" t="inlineStr">
        <is>
          <t>Team Liquid Academy</t>
        </is>
      </c>
      <c r="B174" s="8" t="inlineStr">
        <is>
          <t>Pearl</t>
        </is>
      </c>
      <c r="C174" s="8" t="n">
        <v>8</v>
      </c>
      <c r="D174" s="8" t="n">
        <v>1</v>
      </c>
      <c r="E174" s="8" t="n">
        <v>0.89</v>
      </c>
      <c r="F174" s="8" t="inlineStr">
        <is>
          <t>atk</t>
        </is>
      </c>
    </row>
    <row r="175">
      <c r="A175" s="12" t="inlineStr">
        <is>
          <t>Team Liquid Academy</t>
        </is>
      </c>
      <c r="B175" s="12" t="inlineStr">
        <is>
          <t>Pearl</t>
        </is>
      </c>
      <c r="C175" s="12" t="n">
        <v>2</v>
      </c>
      <c r="D175" s="12" t="n">
        <v>6</v>
      </c>
      <c r="E175" s="12" t="n">
        <v>0.25</v>
      </c>
      <c r="F175" s="12" t="inlineStr">
        <is>
          <t>def</t>
        </is>
      </c>
    </row>
    <row r="176">
      <c r="A176" s="8" t="inlineStr">
        <is>
          <t>Team Liquid Academy</t>
        </is>
      </c>
      <c r="B176" s="8" t="inlineStr">
        <is>
          <t>Split</t>
        </is>
      </c>
      <c r="C176" s="8" t="n">
        <v>3</v>
      </c>
      <c r="D176" s="8" t="n">
        <v>1</v>
      </c>
      <c r="E176" s="8" t="n">
        <v>0.75</v>
      </c>
      <c r="F176" s="8" t="inlineStr">
        <is>
          <t>atk</t>
        </is>
      </c>
    </row>
    <row r="177">
      <c r="A177" s="12" t="inlineStr">
        <is>
          <t>Team Liquid Academy</t>
        </is>
      </c>
      <c r="B177" s="12" t="inlineStr">
        <is>
          <t>Split</t>
        </is>
      </c>
      <c r="C177" s="12" t="n">
        <v>3</v>
      </c>
      <c r="D177" s="12" t="n">
        <v>1</v>
      </c>
      <c r="E177" s="12" t="n">
        <v>0.75</v>
      </c>
      <c r="F177" s="12" t="inlineStr">
        <is>
          <t>def</t>
        </is>
      </c>
    </row>
    <row r="178">
      <c r="A178" s="8" t="inlineStr">
        <is>
          <t>UCAM Esports</t>
        </is>
      </c>
      <c r="B178" s="8" t="inlineStr">
        <is>
          <t>Abyss</t>
        </is>
      </c>
      <c r="C178" s="8" t="n">
        <v>1</v>
      </c>
      <c r="D178" s="8" t="n">
        <v>1</v>
      </c>
      <c r="E178" s="8" t="n">
        <v>0.5</v>
      </c>
      <c r="F178" s="8" t="inlineStr">
        <is>
          <t>atk</t>
        </is>
      </c>
    </row>
    <row r="179">
      <c r="A179" s="12" t="inlineStr">
        <is>
          <t>UCAM Esports</t>
        </is>
      </c>
      <c r="B179" s="12" t="inlineStr">
        <is>
          <t>Abyss</t>
        </is>
      </c>
      <c r="C179" s="12" t="n">
        <v>2</v>
      </c>
      <c r="D179" s="12" t="n">
        <v>0</v>
      </c>
      <c r="E179" s="12" t="n">
        <v>1</v>
      </c>
      <c r="F179" s="12" t="inlineStr">
        <is>
          <t>def</t>
        </is>
      </c>
    </row>
    <row r="180">
      <c r="A180" s="8" t="inlineStr">
        <is>
          <t>UCAM Esports</t>
        </is>
      </c>
      <c r="B180" s="8" t="inlineStr">
        <is>
          <t>Bind</t>
        </is>
      </c>
      <c r="C180" s="8" t="n">
        <v>6</v>
      </c>
      <c r="D180" s="8" t="n">
        <v>6</v>
      </c>
      <c r="E180" s="8" t="n">
        <v>0.5</v>
      </c>
      <c r="F180" s="8" t="inlineStr">
        <is>
          <t>atk</t>
        </is>
      </c>
    </row>
    <row r="181">
      <c r="A181" s="12" t="inlineStr">
        <is>
          <t>UCAM Esports</t>
        </is>
      </c>
      <c r="B181" s="12" t="inlineStr">
        <is>
          <t>Bind</t>
        </is>
      </c>
      <c r="C181" s="12" t="n">
        <v>7</v>
      </c>
      <c r="D181" s="12" t="n">
        <v>6</v>
      </c>
      <c r="E181" s="12" t="n">
        <v>0.54</v>
      </c>
      <c r="F181" s="12" t="inlineStr">
        <is>
          <t>def</t>
        </is>
      </c>
    </row>
    <row r="182">
      <c r="A182" s="8" t="inlineStr">
        <is>
          <t>UCAM Esports</t>
        </is>
      </c>
      <c r="B182" s="8" t="inlineStr">
        <is>
          <t>Breeze</t>
        </is>
      </c>
      <c r="C182" s="8" t="n">
        <v>0</v>
      </c>
      <c r="D182" s="8" t="n">
        <v>2</v>
      </c>
      <c r="E182" s="8" t="n">
        <v>0</v>
      </c>
      <c r="F182" s="8" t="inlineStr">
        <is>
          <t>atk</t>
        </is>
      </c>
    </row>
    <row r="183">
      <c r="A183" s="12" t="inlineStr">
        <is>
          <t>UCAM Esports</t>
        </is>
      </c>
      <c r="B183" s="12" t="inlineStr">
        <is>
          <t>Breeze</t>
        </is>
      </c>
      <c r="C183" s="12" t="n">
        <v>1</v>
      </c>
      <c r="D183" s="12" t="n">
        <v>1</v>
      </c>
      <c r="E183" s="12" t="n">
        <v>0.5</v>
      </c>
      <c r="F183" s="12" t="inlineStr">
        <is>
          <t>def</t>
        </is>
      </c>
    </row>
    <row r="184">
      <c r="A184" s="8" t="inlineStr">
        <is>
          <t>UCAM Esports</t>
        </is>
      </c>
      <c r="B184" s="8" t="inlineStr">
        <is>
          <t>Corrode</t>
        </is>
      </c>
      <c r="C184" s="8" t="n">
        <v>6</v>
      </c>
      <c r="D184" s="8" t="n">
        <v>5</v>
      </c>
      <c r="E184" s="8" t="n">
        <v>0.55</v>
      </c>
      <c r="F184" s="8" t="inlineStr">
        <is>
          <t>atk</t>
        </is>
      </c>
    </row>
    <row r="185">
      <c r="A185" s="12" t="inlineStr">
        <is>
          <t>UCAM Esports</t>
        </is>
      </c>
      <c r="B185" s="12" t="inlineStr">
        <is>
          <t>Corrode</t>
        </is>
      </c>
      <c r="C185" s="12" t="n">
        <v>5</v>
      </c>
      <c r="D185" s="12" t="n">
        <v>6</v>
      </c>
      <c r="E185" s="12" t="n">
        <v>0.45</v>
      </c>
      <c r="F185" s="12" t="inlineStr">
        <is>
          <t>def</t>
        </is>
      </c>
    </row>
    <row r="186">
      <c r="A186" s="8" t="inlineStr">
        <is>
          <t>UCAM Esports</t>
        </is>
      </c>
      <c r="B186" s="8" t="inlineStr">
        <is>
          <t>Haven</t>
        </is>
      </c>
      <c r="C186" s="8" t="n">
        <v>5</v>
      </c>
      <c r="D186" s="8" t="n">
        <v>6</v>
      </c>
      <c r="E186" s="8" t="n">
        <v>0.45</v>
      </c>
      <c r="F186" s="8" t="inlineStr">
        <is>
          <t>atk</t>
        </is>
      </c>
    </row>
    <row r="187">
      <c r="A187" s="12" t="inlineStr">
        <is>
          <t>UCAM Esports</t>
        </is>
      </c>
      <c r="B187" s="12" t="inlineStr">
        <is>
          <t>Haven</t>
        </is>
      </c>
      <c r="C187" s="12" t="n">
        <v>5</v>
      </c>
      <c r="D187" s="12" t="n">
        <v>6</v>
      </c>
      <c r="E187" s="12" t="n">
        <v>0.45</v>
      </c>
      <c r="F187" s="12" t="inlineStr">
        <is>
          <t>def</t>
        </is>
      </c>
    </row>
    <row r="188">
      <c r="A188" s="8" t="inlineStr">
        <is>
          <t>UCAM Esports</t>
        </is>
      </c>
      <c r="B188" s="8" t="inlineStr">
        <is>
          <t>Pearl</t>
        </is>
      </c>
      <c r="C188" s="8" t="n">
        <v>1</v>
      </c>
      <c r="D188" s="8" t="n">
        <v>2</v>
      </c>
      <c r="E188" s="8" t="n">
        <v>0.33</v>
      </c>
      <c r="F188" s="8" t="inlineStr">
        <is>
          <t>atk</t>
        </is>
      </c>
    </row>
    <row r="189">
      <c r="A189" s="12" t="inlineStr">
        <is>
          <t>UCAM Esports</t>
        </is>
      </c>
      <c r="B189" s="12" t="inlineStr">
        <is>
          <t>Pearl</t>
        </is>
      </c>
      <c r="C189" s="12" t="n">
        <v>2</v>
      </c>
      <c r="D189" s="12" t="n">
        <v>1</v>
      </c>
      <c r="E189" s="12" t="n">
        <v>0.67</v>
      </c>
      <c r="F189" s="12" t="inlineStr">
        <is>
          <t>def</t>
        </is>
      </c>
    </row>
    <row r="190">
      <c r="A190" s="8" t="inlineStr">
        <is>
          <t>UCAM Esports</t>
        </is>
      </c>
      <c r="B190" s="8" t="inlineStr">
        <is>
          <t>Split</t>
        </is>
      </c>
      <c r="C190" s="8" t="n">
        <v>2</v>
      </c>
      <c r="D190" s="8" t="n">
        <v>2</v>
      </c>
      <c r="E190" s="8" t="n">
        <v>0.5</v>
      </c>
      <c r="F190" s="8" t="inlineStr">
        <is>
          <t>atk</t>
        </is>
      </c>
    </row>
    <row r="191">
      <c r="A191" s="12" t="inlineStr">
        <is>
          <t>UCAM Esports</t>
        </is>
      </c>
      <c r="B191" s="12" t="inlineStr">
        <is>
          <t>Split</t>
        </is>
      </c>
      <c r="C191" s="12" t="n">
        <v>1</v>
      </c>
      <c r="D191" s="12" t="n">
        <v>3</v>
      </c>
      <c r="E191" s="12" t="n">
        <v>0.25</v>
      </c>
      <c r="F191" s="12" t="inlineStr">
        <is>
          <t>def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33333"/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Team</t>
        </is>
      </c>
      <c r="B1" s="4" t="inlineStr">
        <is>
          <t>Map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Win Percentage</t>
        </is>
      </c>
      <c r="F1" s="4" t="inlineStr">
        <is>
          <t>Side</t>
        </is>
      </c>
    </row>
    <row r="2">
      <c r="A2" s="8" t="inlineStr">
        <is>
          <t>Barça eSports</t>
        </is>
      </c>
      <c r="B2" s="8" t="inlineStr">
        <is>
          <t>Abyss</t>
        </is>
      </c>
      <c r="C2" s="8" t="n">
        <v>5</v>
      </c>
      <c r="D2" s="8" t="n">
        <v>5</v>
      </c>
      <c r="E2" s="8" t="n">
        <v>0.5</v>
      </c>
      <c r="F2" s="8" t="inlineStr">
        <is>
          <t>atk</t>
        </is>
      </c>
    </row>
    <row r="3">
      <c r="A3" s="12" t="inlineStr">
        <is>
          <t>Barça eSports</t>
        </is>
      </c>
      <c r="B3" s="12" t="inlineStr">
        <is>
          <t>Abyss</t>
        </is>
      </c>
      <c r="C3" s="12" t="n">
        <v>4</v>
      </c>
      <c r="D3" s="12" t="n">
        <v>6</v>
      </c>
      <c r="E3" s="12" t="n">
        <v>0.4</v>
      </c>
      <c r="F3" s="12" t="inlineStr">
        <is>
          <t>def</t>
        </is>
      </c>
    </row>
    <row r="4">
      <c r="A4" s="8" t="inlineStr">
        <is>
          <t>Barça eSports</t>
        </is>
      </c>
      <c r="B4" s="8" t="inlineStr">
        <is>
          <t>Bind</t>
        </is>
      </c>
      <c r="C4" s="8" t="n">
        <v>20</v>
      </c>
      <c r="D4" s="8" t="n">
        <v>18</v>
      </c>
      <c r="E4" s="8" t="n">
        <v>0.53</v>
      </c>
      <c r="F4" s="8" t="inlineStr">
        <is>
          <t>atk</t>
        </is>
      </c>
    </row>
    <row r="5">
      <c r="A5" s="12" t="inlineStr">
        <is>
          <t>Barça eSports</t>
        </is>
      </c>
      <c r="B5" s="12" t="inlineStr">
        <is>
          <t>Bind</t>
        </is>
      </c>
      <c r="C5" s="12" t="n">
        <v>31</v>
      </c>
      <c r="D5" s="12" t="n">
        <v>15</v>
      </c>
      <c r="E5" s="12" t="n">
        <v>0.67</v>
      </c>
      <c r="F5" s="12" t="inlineStr">
        <is>
          <t>def</t>
        </is>
      </c>
    </row>
    <row r="6">
      <c r="A6" s="8" t="inlineStr">
        <is>
          <t>Barça eSports</t>
        </is>
      </c>
      <c r="B6" s="8" t="inlineStr">
        <is>
          <t>Breeze</t>
        </is>
      </c>
      <c r="C6" s="8" t="n">
        <v>11</v>
      </c>
      <c r="D6" s="8" t="n">
        <v>12</v>
      </c>
      <c r="E6" s="8" t="n">
        <v>0.48</v>
      </c>
      <c r="F6" s="8" t="inlineStr">
        <is>
          <t>atk</t>
        </is>
      </c>
    </row>
    <row r="7">
      <c r="A7" s="12" t="inlineStr">
        <is>
          <t>Barça eSports</t>
        </is>
      </c>
      <c r="B7" s="12" t="inlineStr">
        <is>
          <t>Breeze</t>
        </is>
      </c>
      <c r="C7" s="12" t="n">
        <v>17</v>
      </c>
      <c r="D7" s="12" t="n">
        <v>9</v>
      </c>
      <c r="E7" s="12" t="n">
        <v>0.65</v>
      </c>
      <c r="F7" s="12" t="inlineStr">
        <is>
          <t>def</t>
        </is>
      </c>
    </row>
    <row r="8">
      <c r="A8" s="8" t="inlineStr">
        <is>
          <t>Barça eSports</t>
        </is>
      </c>
      <c r="B8" s="8" t="inlineStr">
        <is>
          <t>Corrode</t>
        </is>
      </c>
      <c r="C8" s="8" t="n">
        <v>8</v>
      </c>
      <c r="D8" s="8" t="n">
        <v>9</v>
      </c>
      <c r="E8" s="8" t="n">
        <v>0.47</v>
      </c>
      <c r="F8" s="8" t="inlineStr">
        <is>
          <t>atk</t>
        </is>
      </c>
    </row>
    <row r="9">
      <c r="A9" s="12" t="inlineStr">
        <is>
          <t>Barça eSports</t>
        </is>
      </c>
      <c r="B9" s="12" t="inlineStr">
        <is>
          <t>Corrode</t>
        </is>
      </c>
      <c r="C9" s="12" t="n">
        <v>12</v>
      </c>
      <c r="D9" s="12" t="n">
        <v>8</v>
      </c>
      <c r="E9" s="12" t="n">
        <v>0.6</v>
      </c>
      <c r="F9" s="12" t="inlineStr">
        <is>
          <t>def</t>
        </is>
      </c>
    </row>
    <row r="10">
      <c r="A10" s="8" t="inlineStr">
        <is>
          <t>Barça eSports</t>
        </is>
      </c>
      <c r="B10" s="8" t="inlineStr">
        <is>
          <t>Haven</t>
        </is>
      </c>
      <c r="C10" s="8" t="n">
        <v>10</v>
      </c>
      <c r="D10" s="8" t="n">
        <v>6</v>
      </c>
      <c r="E10" s="8" t="n">
        <v>0.62</v>
      </c>
      <c r="F10" s="8" t="inlineStr">
        <is>
          <t>atk</t>
        </is>
      </c>
    </row>
    <row r="11">
      <c r="A11" s="12" t="inlineStr">
        <is>
          <t>Barça eSports</t>
        </is>
      </c>
      <c r="B11" s="12" t="inlineStr">
        <is>
          <t>Haven</t>
        </is>
      </c>
      <c r="C11" s="12" t="n">
        <v>30</v>
      </c>
      <c r="D11" s="12" t="n">
        <v>20</v>
      </c>
      <c r="E11" s="12" t="n">
        <v>0.6</v>
      </c>
      <c r="F11" s="12" t="inlineStr">
        <is>
          <t>def</t>
        </is>
      </c>
    </row>
    <row r="12">
      <c r="A12" s="8" t="inlineStr">
        <is>
          <t>Barça eSports</t>
        </is>
      </c>
      <c r="B12" s="8" t="inlineStr">
        <is>
          <t>Pearl</t>
        </is>
      </c>
      <c r="C12" s="8" t="n">
        <v>20</v>
      </c>
      <c r="D12" s="8" t="n">
        <v>29</v>
      </c>
      <c r="E12" s="8" t="n">
        <v>0.41</v>
      </c>
      <c r="F12" s="8" t="inlineStr">
        <is>
          <t>atk</t>
        </is>
      </c>
    </row>
    <row r="13">
      <c r="A13" s="12" t="inlineStr">
        <is>
          <t>Barça eSports</t>
        </is>
      </c>
      <c r="B13" s="12" t="inlineStr">
        <is>
          <t>Pearl</t>
        </is>
      </c>
      <c r="C13" s="12" t="n">
        <v>41</v>
      </c>
      <c r="D13" s="12" t="n">
        <v>15</v>
      </c>
      <c r="E13" s="12" t="n">
        <v>0.73</v>
      </c>
      <c r="F13" s="12" t="inlineStr">
        <is>
          <t>def</t>
        </is>
      </c>
    </row>
    <row r="14">
      <c r="A14" s="8" t="inlineStr">
        <is>
          <t>Barça eSports</t>
        </is>
      </c>
      <c r="B14" s="8" t="inlineStr">
        <is>
          <t>Split</t>
        </is>
      </c>
      <c r="C14" s="8" t="n">
        <v>43</v>
      </c>
      <c r="D14" s="8" t="n">
        <v>31</v>
      </c>
      <c r="E14" s="8" t="n">
        <v>0.58</v>
      </c>
      <c r="F14" s="8" t="inlineStr">
        <is>
          <t>atk</t>
        </is>
      </c>
    </row>
    <row r="15">
      <c r="A15" s="12" t="inlineStr">
        <is>
          <t>Barça eSports</t>
        </is>
      </c>
      <c r="B15" s="12" t="inlineStr">
        <is>
          <t>Split</t>
        </is>
      </c>
      <c r="C15" s="12" t="n">
        <v>32</v>
      </c>
      <c r="D15" s="12" t="n">
        <v>43</v>
      </c>
      <c r="E15" s="12" t="n">
        <v>0.43</v>
      </c>
      <c r="F15" s="12" t="inlineStr">
        <is>
          <t>def</t>
        </is>
      </c>
    </row>
    <row r="16">
      <c r="A16" s="8" t="inlineStr">
        <is>
          <t>Eintracht Frankfurt</t>
        </is>
      </c>
      <c r="B16" s="8" t="inlineStr">
        <is>
          <t>Abyss</t>
        </is>
      </c>
      <c r="C16" s="8" t="n">
        <v>35</v>
      </c>
      <c r="D16" s="8" t="n">
        <v>26</v>
      </c>
      <c r="E16" s="8" t="n">
        <v>0.57</v>
      </c>
      <c r="F16" s="8" t="inlineStr">
        <is>
          <t>atk</t>
        </is>
      </c>
    </row>
    <row r="17">
      <c r="A17" s="12" t="inlineStr">
        <is>
          <t>Eintracht Frankfurt</t>
        </is>
      </c>
      <c r="B17" s="12" t="inlineStr">
        <is>
          <t>Abyss</t>
        </is>
      </c>
      <c r="C17" s="12" t="n">
        <v>26</v>
      </c>
      <c r="D17" s="12" t="n">
        <v>30</v>
      </c>
      <c r="E17" s="12" t="n">
        <v>0.46</v>
      </c>
      <c r="F17" s="12" t="inlineStr">
        <is>
          <t>def</t>
        </is>
      </c>
    </row>
    <row r="18">
      <c r="A18" s="8" t="inlineStr">
        <is>
          <t>Eintracht Frankfurt</t>
        </is>
      </c>
      <c r="B18" s="8" t="inlineStr">
        <is>
          <t>Bind</t>
        </is>
      </c>
      <c r="C18" s="8" t="n">
        <v>36</v>
      </c>
      <c r="D18" s="8" t="n">
        <v>31</v>
      </c>
      <c r="E18" s="8" t="n">
        <v>0.54</v>
      </c>
      <c r="F18" s="8" t="inlineStr">
        <is>
          <t>atk</t>
        </is>
      </c>
    </row>
    <row r="19">
      <c r="A19" s="12" t="inlineStr">
        <is>
          <t>Eintracht Frankfurt</t>
        </is>
      </c>
      <c r="B19" s="12" t="inlineStr">
        <is>
          <t>Bind</t>
        </is>
      </c>
      <c r="C19" s="12" t="n">
        <v>52</v>
      </c>
      <c r="D19" s="12" t="n">
        <v>30</v>
      </c>
      <c r="E19" s="12" t="n">
        <v>0.63</v>
      </c>
      <c r="F19" s="12" t="inlineStr">
        <is>
          <t>def</t>
        </is>
      </c>
    </row>
    <row r="20">
      <c r="A20" s="8" t="inlineStr">
        <is>
          <t>Eintracht Frankfurt</t>
        </is>
      </c>
      <c r="B20" s="8" t="inlineStr">
        <is>
          <t>Breeze</t>
        </is>
      </c>
      <c r="C20" s="8" t="n">
        <v>40</v>
      </c>
      <c r="D20" s="8" t="n">
        <v>19</v>
      </c>
      <c r="E20" s="8" t="n">
        <v>0.68</v>
      </c>
      <c r="F20" s="8" t="inlineStr">
        <is>
          <t>atk</t>
        </is>
      </c>
    </row>
    <row r="21">
      <c r="A21" s="12" t="inlineStr">
        <is>
          <t>Eintracht Frankfurt</t>
        </is>
      </c>
      <c r="B21" s="12" t="inlineStr">
        <is>
          <t>Breeze</t>
        </is>
      </c>
      <c r="C21" s="12" t="n">
        <v>20</v>
      </c>
      <c r="D21" s="12" t="n">
        <v>21</v>
      </c>
      <c r="E21" s="12" t="n">
        <v>0.49</v>
      </c>
      <c r="F21" s="12" t="inlineStr">
        <is>
          <t>def</t>
        </is>
      </c>
    </row>
    <row r="22">
      <c r="A22" s="8" t="inlineStr">
        <is>
          <t>Eintracht Frankfurt</t>
        </is>
      </c>
      <c r="B22" s="8" t="inlineStr">
        <is>
          <t>Corrode</t>
        </is>
      </c>
      <c r="C22" s="8" t="n">
        <v>16</v>
      </c>
      <c r="D22" s="8" t="n">
        <v>20</v>
      </c>
      <c r="E22" s="8" t="n">
        <v>0.44</v>
      </c>
      <c r="F22" s="8" t="inlineStr">
        <is>
          <t>atk</t>
        </is>
      </c>
    </row>
    <row r="23">
      <c r="A23" s="12" t="inlineStr">
        <is>
          <t>Eintracht Frankfurt</t>
        </is>
      </c>
      <c r="B23" s="12" t="inlineStr">
        <is>
          <t>Corrode</t>
        </is>
      </c>
      <c r="C23" s="12" t="n">
        <v>13</v>
      </c>
      <c r="D23" s="12" t="n">
        <v>17</v>
      </c>
      <c r="E23" s="12" t="n">
        <v>0.43</v>
      </c>
      <c r="F23" s="12" t="inlineStr">
        <is>
          <t>def</t>
        </is>
      </c>
    </row>
    <row r="24">
      <c r="A24" s="8" t="inlineStr">
        <is>
          <t>Eintracht Frankfurt</t>
        </is>
      </c>
      <c r="B24" s="8" t="inlineStr">
        <is>
          <t>Haven</t>
        </is>
      </c>
      <c r="C24" s="8" t="n">
        <v>37</v>
      </c>
      <c r="D24" s="8" t="n">
        <v>24</v>
      </c>
      <c r="E24" s="8" t="n">
        <v>0.61</v>
      </c>
      <c r="F24" s="8" t="inlineStr">
        <is>
          <t>atk</t>
        </is>
      </c>
    </row>
    <row r="25">
      <c r="A25" s="12" t="inlineStr">
        <is>
          <t>Eintracht Frankfurt</t>
        </is>
      </c>
      <c r="B25" s="12" t="inlineStr">
        <is>
          <t>Haven</t>
        </is>
      </c>
      <c r="C25" s="12" t="n">
        <v>41</v>
      </c>
      <c r="D25" s="12" t="n">
        <v>20</v>
      </c>
      <c r="E25" s="12" t="n">
        <v>0.67</v>
      </c>
      <c r="F25" s="12" t="inlineStr">
        <is>
          <t>def</t>
        </is>
      </c>
    </row>
    <row r="26">
      <c r="A26" s="8" t="inlineStr">
        <is>
          <t>Eintracht Frankfurt</t>
        </is>
      </c>
      <c r="B26" s="8" t="inlineStr">
        <is>
          <t>Pearl</t>
        </is>
      </c>
      <c r="C26" s="8" t="n">
        <v>27</v>
      </c>
      <c r="D26" s="8" t="n">
        <v>18</v>
      </c>
      <c r="E26" s="8" t="n">
        <v>0.6</v>
      </c>
      <c r="F26" s="8" t="inlineStr">
        <is>
          <t>atk</t>
        </is>
      </c>
    </row>
    <row r="27">
      <c r="A27" s="12" t="inlineStr">
        <is>
          <t>Eintracht Frankfurt</t>
        </is>
      </c>
      <c r="B27" s="12" t="inlineStr">
        <is>
          <t>Pearl</t>
        </is>
      </c>
      <c r="C27" s="12" t="n">
        <v>26</v>
      </c>
      <c r="D27" s="12" t="n">
        <v>18</v>
      </c>
      <c r="E27" s="12" t="n">
        <v>0.59</v>
      </c>
      <c r="F27" s="12" t="inlineStr">
        <is>
          <t>def</t>
        </is>
      </c>
    </row>
    <row r="28">
      <c r="A28" s="8" t="inlineStr">
        <is>
          <t>Eintracht Frankfurt</t>
        </is>
      </c>
      <c r="B28" s="8" t="inlineStr">
        <is>
          <t>Split</t>
        </is>
      </c>
      <c r="C28" s="8" t="n">
        <v>25</v>
      </c>
      <c r="D28" s="8" t="n">
        <v>15</v>
      </c>
      <c r="E28" s="8" t="n">
        <v>0.62</v>
      </c>
      <c r="F28" s="8" t="inlineStr">
        <is>
          <t>atk</t>
        </is>
      </c>
    </row>
    <row r="29">
      <c r="A29" s="12" t="inlineStr">
        <is>
          <t>Eintracht Frankfurt</t>
        </is>
      </c>
      <c r="B29" s="12" t="inlineStr">
        <is>
          <t>Split</t>
        </is>
      </c>
      <c r="C29" s="12" t="n">
        <v>20</v>
      </c>
      <c r="D29" s="12" t="n">
        <v>18</v>
      </c>
      <c r="E29" s="12" t="n">
        <v>0.53</v>
      </c>
      <c r="F29" s="12" t="inlineStr">
        <is>
          <t>def</t>
        </is>
      </c>
    </row>
    <row r="30">
      <c r="A30" s="8" t="inlineStr">
        <is>
          <t>Enterprise Esports</t>
        </is>
      </c>
      <c r="B30" s="8" t="inlineStr">
        <is>
          <t>Bind</t>
        </is>
      </c>
      <c r="C30" s="8" t="n">
        <v>33</v>
      </c>
      <c r="D30" s="8" t="n">
        <v>22</v>
      </c>
      <c r="E30" s="8" t="n">
        <v>0.6</v>
      </c>
      <c r="F30" s="8" t="inlineStr">
        <is>
          <t>atk</t>
        </is>
      </c>
    </row>
    <row r="31">
      <c r="A31" s="12" t="inlineStr">
        <is>
          <t>Enterprise Esports</t>
        </is>
      </c>
      <c r="B31" s="12" t="inlineStr">
        <is>
          <t>Bind</t>
        </is>
      </c>
      <c r="C31" s="12" t="n">
        <v>30</v>
      </c>
      <c r="D31" s="12" t="n">
        <v>36</v>
      </c>
      <c r="E31" s="12" t="n">
        <v>0.45</v>
      </c>
      <c r="F31" s="12" t="inlineStr">
        <is>
          <t>def</t>
        </is>
      </c>
    </row>
    <row r="32">
      <c r="A32" s="8" t="inlineStr">
        <is>
          <t>Enterprise Esports</t>
        </is>
      </c>
      <c r="B32" s="8" t="inlineStr">
        <is>
          <t>Corrode</t>
        </is>
      </c>
      <c r="C32" s="8" t="n">
        <v>28</v>
      </c>
      <c r="D32" s="8" t="n">
        <v>12</v>
      </c>
      <c r="E32" s="8" t="n">
        <v>0.7</v>
      </c>
      <c r="F32" s="8" t="inlineStr">
        <is>
          <t>atk</t>
        </is>
      </c>
    </row>
    <row r="33">
      <c r="A33" s="12" t="inlineStr">
        <is>
          <t>Enterprise Esports</t>
        </is>
      </c>
      <c r="B33" s="12" t="inlineStr">
        <is>
          <t>Corrode</t>
        </is>
      </c>
      <c r="C33" s="12" t="n">
        <v>14</v>
      </c>
      <c r="D33" s="12" t="n">
        <v>22</v>
      </c>
      <c r="E33" s="12" t="n">
        <v>0.39</v>
      </c>
      <c r="F33" s="12" t="inlineStr">
        <is>
          <t>def</t>
        </is>
      </c>
    </row>
    <row r="34">
      <c r="A34" s="8" t="inlineStr">
        <is>
          <t>Enterprise Esports</t>
        </is>
      </c>
      <c r="B34" s="8" t="inlineStr">
        <is>
          <t>Haven</t>
        </is>
      </c>
      <c r="C34" s="8" t="n">
        <v>18</v>
      </c>
      <c r="D34" s="8" t="n">
        <v>12</v>
      </c>
      <c r="E34" s="8" t="n">
        <v>0.6</v>
      </c>
      <c r="F34" s="8" t="inlineStr">
        <is>
          <t>atk</t>
        </is>
      </c>
    </row>
    <row r="35">
      <c r="A35" s="12" t="inlineStr">
        <is>
          <t>Enterprise Esports</t>
        </is>
      </c>
      <c r="B35" s="12" t="inlineStr">
        <is>
          <t>Haven</t>
        </is>
      </c>
      <c r="C35" s="12" t="n">
        <v>19</v>
      </c>
      <c r="D35" s="12" t="n">
        <v>14</v>
      </c>
      <c r="E35" s="12" t="n">
        <v>0.58</v>
      </c>
      <c r="F35" s="12" t="inlineStr">
        <is>
          <t>def</t>
        </is>
      </c>
    </row>
    <row r="36">
      <c r="A36" s="8" t="inlineStr">
        <is>
          <t>Enterprise Esports</t>
        </is>
      </c>
      <c r="B36" s="8" t="inlineStr">
        <is>
          <t>Pearl</t>
        </is>
      </c>
      <c r="C36" s="8" t="n">
        <v>26</v>
      </c>
      <c r="D36" s="8" t="n">
        <v>14</v>
      </c>
      <c r="E36" s="8" t="n">
        <v>0.65</v>
      </c>
      <c r="F36" s="8" t="inlineStr">
        <is>
          <t>atk</t>
        </is>
      </c>
    </row>
    <row r="37">
      <c r="A37" s="12" t="inlineStr">
        <is>
          <t>Enterprise Esports</t>
        </is>
      </c>
      <c r="B37" s="12" t="inlineStr">
        <is>
          <t>Pearl</t>
        </is>
      </c>
      <c r="C37" s="12" t="n">
        <v>23</v>
      </c>
      <c r="D37" s="12" t="n">
        <v>9</v>
      </c>
      <c r="E37" s="12" t="n">
        <v>0.72</v>
      </c>
      <c r="F37" s="12" t="inlineStr">
        <is>
          <t>def</t>
        </is>
      </c>
    </row>
    <row r="38">
      <c r="A38" s="8" t="inlineStr">
        <is>
          <t>Enterprise Esports</t>
        </is>
      </c>
      <c r="B38" s="8" t="inlineStr">
        <is>
          <t>Split</t>
        </is>
      </c>
      <c r="C38" s="8" t="n">
        <v>19</v>
      </c>
      <c r="D38" s="8" t="n">
        <v>13</v>
      </c>
      <c r="E38" s="8" t="n">
        <v>0.59</v>
      </c>
      <c r="F38" s="8" t="inlineStr">
        <is>
          <t>atk</t>
        </is>
      </c>
    </row>
    <row r="39">
      <c r="A39" s="12" t="inlineStr">
        <is>
          <t>Enterprise Esports</t>
        </is>
      </c>
      <c r="B39" s="12" t="inlineStr">
        <is>
          <t>Split</t>
        </is>
      </c>
      <c r="C39" s="12" t="n">
        <v>45</v>
      </c>
      <c r="D39" s="12" t="n">
        <v>10</v>
      </c>
      <c r="E39" s="12" t="n">
        <v>0.82</v>
      </c>
      <c r="F39" s="12" t="inlineStr">
        <is>
          <t>def</t>
        </is>
      </c>
    </row>
    <row r="40">
      <c r="A40" s="8" t="inlineStr">
        <is>
          <t>FOKUS</t>
        </is>
      </c>
      <c r="B40" s="8" t="inlineStr">
        <is>
          <t>Abyss</t>
        </is>
      </c>
      <c r="C40" s="8" t="n">
        <v>61</v>
      </c>
      <c r="D40" s="8" t="n">
        <v>43</v>
      </c>
      <c r="E40" s="8" t="n">
        <v>0.59</v>
      </c>
      <c r="F40" s="8" t="inlineStr">
        <is>
          <t>atk</t>
        </is>
      </c>
    </row>
    <row r="41">
      <c r="A41" s="12" t="inlineStr">
        <is>
          <t>FOKUS</t>
        </is>
      </c>
      <c r="B41" s="12" t="inlineStr">
        <is>
          <t>Abyss</t>
        </is>
      </c>
      <c r="C41" s="12" t="n">
        <v>40</v>
      </c>
      <c r="D41" s="12" t="n">
        <v>34</v>
      </c>
      <c r="E41" s="12" t="n">
        <v>0.54</v>
      </c>
      <c r="F41" s="12" t="inlineStr">
        <is>
          <t>def</t>
        </is>
      </c>
    </row>
    <row r="42">
      <c r="A42" s="8" t="inlineStr">
        <is>
          <t>FOKUS</t>
        </is>
      </c>
      <c r="B42" s="8" t="inlineStr">
        <is>
          <t>Bind</t>
        </is>
      </c>
      <c r="C42" s="8" t="n">
        <v>47</v>
      </c>
      <c r="D42" s="8" t="n">
        <v>37</v>
      </c>
      <c r="E42" s="8" t="n">
        <v>0.5600000000000001</v>
      </c>
      <c r="F42" s="8" t="inlineStr">
        <is>
          <t>atk</t>
        </is>
      </c>
    </row>
    <row r="43">
      <c r="A43" s="12" t="inlineStr">
        <is>
          <t>FOKUS</t>
        </is>
      </c>
      <c r="B43" s="12" t="inlineStr">
        <is>
          <t>Bind</t>
        </is>
      </c>
      <c r="C43" s="12" t="n">
        <v>48</v>
      </c>
      <c r="D43" s="12" t="n">
        <v>13</v>
      </c>
      <c r="E43" s="12" t="n">
        <v>0.79</v>
      </c>
      <c r="F43" s="12" t="inlineStr">
        <is>
          <t>def</t>
        </is>
      </c>
    </row>
    <row r="44">
      <c r="A44" s="8" t="inlineStr">
        <is>
          <t>FOKUS</t>
        </is>
      </c>
      <c r="B44" s="8" t="inlineStr">
        <is>
          <t>Breeze</t>
        </is>
      </c>
      <c r="C44" s="8" t="n">
        <v>45</v>
      </c>
      <c r="D44" s="8" t="n">
        <v>30</v>
      </c>
      <c r="E44" s="8" t="n">
        <v>0.6</v>
      </c>
      <c r="F44" s="8" t="inlineStr">
        <is>
          <t>atk</t>
        </is>
      </c>
    </row>
    <row r="45">
      <c r="A45" s="12" t="inlineStr">
        <is>
          <t>FOKUS</t>
        </is>
      </c>
      <c r="B45" s="12" t="inlineStr">
        <is>
          <t>Breeze</t>
        </is>
      </c>
      <c r="C45" s="12" t="n">
        <v>37</v>
      </c>
      <c r="D45" s="12" t="n">
        <v>33</v>
      </c>
      <c r="E45" s="12" t="n">
        <v>0.53</v>
      </c>
      <c r="F45" s="12" t="inlineStr">
        <is>
          <t>def</t>
        </is>
      </c>
    </row>
    <row r="46">
      <c r="A46" s="8" t="inlineStr">
        <is>
          <t>FOKUS</t>
        </is>
      </c>
      <c r="B46" s="8" t="inlineStr">
        <is>
          <t>Corrode</t>
        </is>
      </c>
      <c r="C46" s="8" t="n">
        <v>30</v>
      </c>
      <c r="D46" s="8" t="n">
        <v>22</v>
      </c>
      <c r="E46" s="8" t="n">
        <v>0.58</v>
      </c>
      <c r="F46" s="8" t="inlineStr">
        <is>
          <t>atk</t>
        </is>
      </c>
    </row>
    <row r="47">
      <c r="A47" s="12" t="inlineStr">
        <is>
          <t>FOKUS</t>
        </is>
      </c>
      <c r="B47" s="12" t="inlineStr">
        <is>
          <t>Corrode</t>
        </is>
      </c>
      <c r="C47" s="12" t="n">
        <v>25</v>
      </c>
      <c r="D47" s="12" t="n">
        <v>17</v>
      </c>
      <c r="E47" s="12" t="n">
        <v>0.6</v>
      </c>
      <c r="F47" s="12" t="inlineStr">
        <is>
          <t>def</t>
        </is>
      </c>
    </row>
    <row r="48">
      <c r="A48" s="8" t="inlineStr">
        <is>
          <t>FOKUS</t>
        </is>
      </c>
      <c r="B48" s="8" t="inlineStr">
        <is>
          <t>Haven</t>
        </is>
      </c>
      <c r="C48" s="8" t="n">
        <v>28</v>
      </c>
      <c r="D48" s="8" t="n">
        <v>19</v>
      </c>
      <c r="E48" s="8" t="n">
        <v>0.6</v>
      </c>
      <c r="F48" s="8" t="inlineStr">
        <is>
          <t>atk</t>
        </is>
      </c>
    </row>
    <row r="49">
      <c r="A49" s="12" t="inlineStr">
        <is>
          <t>FOKUS</t>
        </is>
      </c>
      <c r="B49" s="12" t="inlineStr">
        <is>
          <t>Haven</t>
        </is>
      </c>
      <c r="C49" s="12" t="n">
        <v>34</v>
      </c>
      <c r="D49" s="12" t="n">
        <v>28</v>
      </c>
      <c r="E49" s="12" t="n">
        <v>0.55</v>
      </c>
      <c r="F49" s="12" t="inlineStr">
        <is>
          <t>def</t>
        </is>
      </c>
    </row>
    <row r="50">
      <c r="A50" s="8" t="inlineStr">
        <is>
          <t>FOKUS</t>
        </is>
      </c>
      <c r="B50" s="8" t="inlineStr">
        <is>
          <t>Pearl</t>
        </is>
      </c>
      <c r="C50" s="8" t="n">
        <v>12</v>
      </c>
      <c r="D50" s="8" t="n">
        <v>6</v>
      </c>
      <c r="E50" s="8" t="n">
        <v>0.67</v>
      </c>
      <c r="F50" s="8" t="inlineStr">
        <is>
          <t>atk</t>
        </is>
      </c>
    </row>
    <row r="51">
      <c r="A51" s="12" t="inlineStr">
        <is>
          <t>FOKUS</t>
        </is>
      </c>
      <c r="B51" s="12" t="inlineStr">
        <is>
          <t>Pearl</t>
        </is>
      </c>
      <c r="C51" s="12" t="n">
        <v>5</v>
      </c>
      <c r="D51" s="12" t="n">
        <v>11</v>
      </c>
      <c r="E51" s="12" t="n">
        <v>0.31</v>
      </c>
      <c r="F51" s="12" t="inlineStr">
        <is>
          <t>def</t>
        </is>
      </c>
    </row>
    <row r="52">
      <c r="A52" s="8" t="inlineStr">
        <is>
          <t>FOKUS</t>
        </is>
      </c>
      <c r="B52" s="8" t="inlineStr">
        <is>
          <t>Split</t>
        </is>
      </c>
      <c r="C52" s="8" t="n">
        <v>21</v>
      </c>
      <c r="D52" s="8" t="n">
        <v>19</v>
      </c>
      <c r="E52" s="8" t="n">
        <v>0.53</v>
      </c>
      <c r="F52" s="8" t="inlineStr">
        <is>
          <t>atk</t>
        </is>
      </c>
    </row>
    <row r="53">
      <c r="A53" s="12" t="inlineStr">
        <is>
          <t>FOKUS</t>
        </is>
      </c>
      <c r="B53" s="12" t="inlineStr">
        <is>
          <t>Split</t>
        </is>
      </c>
      <c r="C53" s="12" t="n">
        <v>37</v>
      </c>
      <c r="D53" s="12" t="n">
        <v>16</v>
      </c>
      <c r="E53" s="12" t="n">
        <v>0.7</v>
      </c>
      <c r="F53" s="12" t="inlineStr">
        <is>
          <t>def</t>
        </is>
      </c>
    </row>
    <row r="54">
      <c r="A54" s="8" t="inlineStr">
        <is>
          <t>GnG Amazigh</t>
        </is>
      </c>
      <c r="B54" s="8" t="inlineStr">
        <is>
          <t>Abyss</t>
        </is>
      </c>
      <c r="C54" s="8" t="n">
        <v>9</v>
      </c>
      <c r="D54" s="8" t="n">
        <v>18</v>
      </c>
      <c r="E54" s="8" t="n">
        <v>0.33</v>
      </c>
      <c r="F54" s="8" t="inlineStr">
        <is>
          <t>atk</t>
        </is>
      </c>
    </row>
    <row r="55">
      <c r="A55" s="12" t="inlineStr">
        <is>
          <t>GnG Amazigh</t>
        </is>
      </c>
      <c r="B55" s="12" t="inlineStr">
        <is>
          <t>Abyss</t>
        </is>
      </c>
      <c r="C55" s="12" t="n">
        <v>10</v>
      </c>
      <c r="D55" s="12" t="n">
        <v>6</v>
      </c>
      <c r="E55" s="12" t="n">
        <v>0.62</v>
      </c>
      <c r="F55" s="12" t="inlineStr">
        <is>
          <t>def</t>
        </is>
      </c>
    </row>
    <row r="56">
      <c r="A56" s="8" t="inlineStr">
        <is>
          <t>GnG Amazigh</t>
        </is>
      </c>
      <c r="B56" s="8" t="inlineStr">
        <is>
          <t>Ascent</t>
        </is>
      </c>
      <c r="C56" s="8" t="n">
        <v>7</v>
      </c>
      <c r="D56" s="8" t="n">
        <v>3</v>
      </c>
      <c r="E56" s="8" t="n">
        <v>0.7</v>
      </c>
      <c r="F56" s="8" t="inlineStr">
        <is>
          <t>atk</t>
        </is>
      </c>
    </row>
    <row r="57">
      <c r="A57" s="12" t="inlineStr">
        <is>
          <t>GnG Amazigh</t>
        </is>
      </c>
      <c r="B57" s="12" t="inlineStr">
        <is>
          <t>Bind</t>
        </is>
      </c>
      <c r="C57" s="12" t="n">
        <v>45</v>
      </c>
      <c r="D57" s="12" t="n">
        <v>33</v>
      </c>
      <c r="E57" s="12" t="n">
        <v>0.58</v>
      </c>
      <c r="F57" s="12" t="inlineStr">
        <is>
          <t>atk</t>
        </is>
      </c>
    </row>
    <row r="58">
      <c r="A58" s="8" t="inlineStr">
        <is>
          <t>GnG Amazigh</t>
        </is>
      </c>
      <c r="B58" s="8" t="inlineStr">
        <is>
          <t>Bind</t>
        </is>
      </c>
      <c r="C58" s="8" t="n">
        <v>31</v>
      </c>
      <c r="D58" s="8" t="n">
        <v>39</v>
      </c>
      <c r="E58" s="8" t="n">
        <v>0.44</v>
      </c>
      <c r="F58" s="8" t="inlineStr">
        <is>
          <t>def</t>
        </is>
      </c>
    </row>
    <row r="59">
      <c r="A59" s="12" t="inlineStr">
        <is>
          <t>GnG Amazigh</t>
        </is>
      </c>
      <c r="B59" s="12" t="inlineStr">
        <is>
          <t>Corrode</t>
        </is>
      </c>
      <c r="C59" s="12" t="n">
        <v>13</v>
      </c>
      <c r="D59" s="12" t="n">
        <v>26</v>
      </c>
      <c r="E59" s="12" t="n">
        <v>0.33</v>
      </c>
      <c r="F59" s="12" t="inlineStr">
        <is>
          <t>atk</t>
        </is>
      </c>
    </row>
    <row r="60">
      <c r="A60" s="8" t="inlineStr">
        <is>
          <t>GnG Amazigh</t>
        </is>
      </c>
      <c r="B60" s="8" t="inlineStr">
        <is>
          <t>Corrode</t>
        </is>
      </c>
      <c r="C60" s="8" t="n">
        <v>36</v>
      </c>
      <c r="D60" s="8" t="n">
        <v>23</v>
      </c>
      <c r="E60" s="8" t="n">
        <v>0.61</v>
      </c>
      <c r="F60" s="8" t="inlineStr">
        <is>
          <t>def</t>
        </is>
      </c>
    </row>
    <row r="61">
      <c r="A61" s="12" t="inlineStr">
        <is>
          <t>GnG Amazigh</t>
        </is>
      </c>
      <c r="B61" s="12" t="inlineStr">
        <is>
          <t>Haven</t>
        </is>
      </c>
      <c r="C61" s="12" t="n">
        <v>34</v>
      </c>
      <c r="D61" s="12" t="n">
        <v>19</v>
      </c>
      <c r="E61" s="12" t="n">
        <v>0.64</v>
      </c>
      <c r="F61" s="12" t="inlineStr">
        <is>
          <t>atk</t>
        </is>
      </c>
    </row>
    <row r="62">
      <c r="A62" s="8" t="inlineStr">
        <is>
          <t>GnG Amazigh</t>
        </is>
      </c>
      <c r="B62" s="8" t="inlineStr">
        <is>
          <t>Haven</t>
        </is>
      </c>
      <c r="C62" s="8" t="n">
        <v>32</v>
      </c>
      <c r="D62" s="8" t="n">
        <v>27</v>
      </c>
      <c r="E62" s="8" t="n">
        <v>0.54</v>
      </c>
      <c r="F62" s="8" t="inlineStr">
        <is>
          <t>def</t>
        </is>
      </c>
    </row>
    <row r="63">
      <c r="A63" s="12" t="inlineStr">
        <is>
          <t>GnG Amazigh</t>
        </is>
      </c>
      <c r="B63" s="12" t="inlineStr">
        <is>
          <t>Pearl</t>
        </is>
      </c>
      <c r="C63" s="12" t="n">
        <v>18</v>
      </c>
      <c r="D63" s="12" t="n">
        <v>20</v>
      </c>
      <c r="E63" s="12" t="n">
        <v>0.47</v>
      </c>
      <c r="F63" s="12" t="inlineStr">
        <is>
          <t>atk</t>
        </is>
      </c>
    </row>
    <row r="64">
      <c r="A64" s="8" t="inlineStr">
        <is>
          <t>GnG Amazigh</t>
        </is>
      </c>
      <c r="B64" s="8" t="inlineStr">
        <is>
          <t>Pearl</t>
        </is>
      </c>
      <c r="C64" s="8" t="n">
        <v>15</v>
      </c>
      <c r="D64" s="8" t="n">
        <v>29</v>
      </c>
      <c r="E64" s="8" t="n">
        <v>0.34</v>
      </c>
      <c r="F64" s="8" t="inlineStr">
        <is>
          <t>def</t>
        </is>
      </c>
    </row>
    <row r="65">
      <c r="A65" s="12" t="inlineStr">
        <is>
          <t>GnG Amazigh</t>
        </is>
      </c>
      <c r="B65" s="12" t="inlineStr">
        <is>
          <t>Split</t>
        </is>
      </c>
      <c r="C65" s="12" t="n">
        <v>18</v>
      </c>
      <c r="D65" s="12" t="n">
        <v>14</v>
      </c>
      <c r="E65" s="12" t="n">
        <v>0.5600000000000001</v>
      </c>
      <c r="F65" s="12" t="inlineStr">
        <is>
          <t>atk</t>
        </is>
      </c>
    </row>
    <row r="66">
      <c r="A66" s="8" t="inlineStr">
        <is>
          <t>GnG Amazigh</t>
        </is>
      </c>
      <c r="B66" s="8" t="inlineStr">
        <is>
          <t>Split</t>
        </is>
      </c>
      <c r="C66" s="8" t="n">
        <v>16</v>
      </c>
      <c r="D66" s="8" t="n">
        <v>10</v>
      </c>
      <c r="E66" s="8" t="n">
        <v>0.62</v>
      </c>
      <c r="F66" s="8" t="inlineStr">
        <is>
          <t>def</t>
        </is>
      </c>
    </row>
    <row r="67">
      <c r="A67" s="12" t="inlineStr">
        <is>
          <t>Joblife</t>
        </is>
      </c>
      <c r="B67" s="12" t="inlineStr">
        <is>
          <t>Abyss</t>
        </is>
      </c>
      <c r="C67" s="12" t="n">
        <v>44</v>
      </c>
      <c r="D67" s="12" t="n">
        <v>11</v>
      </c>
      <c r="E67" s="12" t="n">
        <v>0.8</v>
      </c>
      <c r="F67" s="12" t="inlineStr">
        <is>
          <t>atk</t>
        </is>
      </c>
    </row>
    <row r="68">
      <c r="A68" s="8" t="inlineStr">
        <is>
          <t>Joblife</t>
        </is>
      </c>
      <c r="B68" s="8" t="inlineStr">
        <is>
          <t>Abyss</t>
        </is>
      </c>
      <c r="C68" s="8" t="n">
        <v>23</v>
      </c>
      <c r="D68" s="8" t="n">
        <v>24</v>
      </c>
      <c r="E68" s="8" t="n">
        <v>0.49</v>
      </c>
      <c r="F68" s="8" t="inlineStr">
        <is>
          <t>def</t>
        </is>
      </c>
    </row>
    <row r="69">
      <c r="A69" s="12" t="inlineStr">
        <is>
          <t>Joblife</t>
        </is>
      </c>
      <c r="B69" s="12" t="inlineStr">
        <is>
          <t>Ascent</t>
        </is>
      </c>
      <c r="C69" s="12" t="n">
        <v>2</v>
      </c>
      <c r="D69" s="12" t="n">
        <v>0</v>
      </c>
      <c r="E69" s="12" t="n">
        <v>1</v>
      </c>
      <c r="F69" s="12" t="inlineStr">
        <is>
          <t>atk</t>
        </is>
      </c>
    </row>
    <row r="70">
      <c r="A70" s="8" t="inlineStr">
        <is>
          <t>Joblife</t>
        </is>
      </c>
      <c r="B70" s="8" t="inlineStr">
        <is>
          <t>Bind</t>
        </is>
      </c>
      <c r="C70" s="8" t="n">
        <v>6</v>
      </c>
      <c r="D70" s="8" t="n">
        <v>4</v>
      </c>
      <c r="E70" s="8" t="n">
        <v>0.6</v>
      </c>
      <c r="F70" s="8" t="inlineStr">
        <is>
          <t>atk</t>
        </is>
      </c>
    </row>
    <row r="71">
      <c r="A71" s="12" t="inlineStr">
        <is>
          <t>Joblife</t>
        </is>
      </c>
      <c r="B71" s="12" t="inlineStr">
        <is>
          <t>Bind</t>
        </is>
      </c>
      <c r="C71" s="12" t="n">
        <v>3</v>
      </c>
      <c r="D71" s="12" t="n">
        <v>7</v>
      </c>
      <c r="E71" s="12" t="n">
        <v>0.3</v>
      </c>
      <c r="F71" s="12" t="inlineStr">
        <is>
          <t>def</t>
        </is>
      </c>
    </row>
    <row r="72">
      <c r="A72" s="8" t="inlineStr">
        <is>
          <t>Joblife</t>
        </is>
      </c>
      <c r="B72" s="8" t="inlineStr">
        <is>
          <t>Breeze</t>
        </is>
      </c>
      <c r="C72" s="8" t="n">
        <v>4</v>
      </c>
      <c r="D72" s="8" t="n">
        <v>6</v>
      </c>
      <c r="E72" s="8" t="n">
        <v>0.4</v>
      </c>
      <c r="F72" s="8" t="inlineStr">
        <is>
          <t>atk</t>
        </is>
      </c>
    </row>
    <row r="73">
      <c r="A73" s="12" t="inlineStr">
        <is>
          <t>Joblife</t>
        </is>
      </c>
      <c r="B73" s="12" t="inlineStr">
        <is>
          <t>Breeze</t>
        </is>
      </c>
      <c r="C73" s="12" t="n">
        <v>4</v>
      </c>
      <c r="D73" s="12" t="n">
        <v>5</v>
      </c>
      <c r="E73" s="12" t="n">
        <v>0.44</v>
      </c>
      <c r="F73" s="12" t="inlineStr">
        <is>
          <t>def</t>
        </is>
      </c>
    </row>
    <row r="74">
      <c r="A74" s="8" t="inlineStr">
        <is>
          <t>Joblife</t>
        </is>
      </c>
      <c r="B74" s="8" t="inlineStr">
        <is>
          <t>Corrode</t>
        </is>
      </c>
      <c r="C74" s="8" t="n">
        <v>32</v>
      </c>
      <c r="D74" s="8" t="n">
        <v>26</v>
      </c>
      <c r="E74" s="8" t="n">
        <v>0.55</v>
      </c>
      <c r="F74" s="8" t="inlineStr">
        <is>
          <t>atk</t>
        </is>
      </c>
    </row>
    <row r="75">
      <c r="A75" s="12" t="inlineStr">
        <is>
          <t>Joblife</t>
        </is>
      </c>
      <c r="B75" s="12" t="inlineStr">
        <is>
          <t>Corrode</t>
        </is>
      </c>
      <c r="C75" s="12" t="n">
        <v>38</v>
      </c>
      <c r="D75" s="12" t="n">
        <v>27</v>
      </c>
      <c r="E75" s="12" t="n">
        <v>0.58</v>
      </c>
      <c r="F75" s="12" t="inlineStr">
        <is>
          <t>def</t>
        </is>
      </c>
    </row>
    <row r="76">
      <c r="A76" s="8" t="inlineStr">
        <is>
          <t>Joblife</t>
        </is>
      </c>
      <c r="B76" s="8" t="inlineStr">
        <is>
          <t>Haven</t>
        </is>
      </c>
      <c r="C76" s="8" t="n">
        <v>32</v>
      </c>
      <c r="D76" s="8" t="n">
        <v>20</v>
      </c>
      <c r="E76" s="8" t="n">
        <v>0.62</v>
      </c>
      <c r="F76" s="8" t="inlineStr">
        <is>
          <t>atk</t>
        </is>
      </c>
    </row>
    <row r="77">
      <c r="A77" s="12" t="inlineStr">
        <is>
          <t>Joblife</t>
        </is>
      </c>
      <c r="B77" s="12" t="inlineStr">
        <is>
          <t>Haven</t>
        </is>
      </c>
      <c r="C77" s="12" t="n">
        <v>20</v>
      </c>
      <c r="D77" s="12" t="n">
        <v>22</v>
      </c>
      <c r="E77" s="12" t="n">
        <v>0.48</v>
      </c>
      <c r="F77" s="12" t="inlineStr">
        <is>
          <t>def</t>
        </is>
      </c>
    </row>
    <row r="78">
      <c r="A78" s="8" t="inlineStr">
        <is>
          <t>Joblife</t>
        </is>
      </c>
      <c r="B78" s="8" t="inlineStr">
        <is>
          <t>Pearl</t>
        </is>
      </c>
      <c r="C78" s="8" t="n">
        <v>18</v>
      </c>
      <c r="D78" s="8" t="n">
        <v>19</v>
      </c>
      <c r="E78" s="8" t="n">
        <v>0.49</v>
      </c>
      <c r="F78" s="8" t="inlineStr">
        <is>
          <t>atk</t>
        </is>
      </c>
    </row>
    <row r="79">
      <c r="A79" s="12" t="inlineStr">
        <is>
          <t>Joblife</t>
        </is>
      </c>
      <c r="B79" s="12" t="inlineStr">
        <is>
          <t>Pearl</t>
        </is>
      </c>
      <c r="C79" s="12" t="n">
        <v>19</v>
      </c>
      <c r="D79" s="12" t="n">
        <v>28</v>
      </c>
      <c r="E79" s="12" t="n">
        <v>0.4</v>
      </c>
      <c r="F79" s="12" t="inlineStr">
        <is>
          <t>def</t>
        </is>
      </c>
    </row>
    <row r="80">
      <c r="A80" s="8" t="inlineStr">
        <is>
          <t>Joblife</t>
        </is>
      </c>
      <c r="B80" s="8" t="inlineStr">
        <is>
          <t>Split</t>
        </is>
      </c>
      <c r="C80" s="8" t="n">
        <v>22</v>
      </c>
      <c r="D80" s="8" t="n">
        <v>15</v>
      </c>
      <c r="E80" s="8" t="n">
        <v>0.59</v>
      </c>
      <c r="F80" s="8" t="inlineStr">
        <is>
          <t>atk</t>
        </is>
      </c>
    </row>
    <row r="81">
      <c r="A81" s="12" t="inlineStr">
        <is>
          <t>Joblife</t>
        </is>
      </c>
      <c r="B81" s="12" t="inlineStr">
        <is>
          <t>Split</t>
        </is>
      </c>
      <c r="C81" s="12" t="n">
        <v>30</v>
      </c>
      <c r="D81" s="12" t="n">
        <v>18</v>
      </c>
      <c r="E81" s="12" t="n">
        <v>0.62</v>
      </c>
      <c r="F81" s="12" t="inlineStr">
        <is>
          <t>def</t>
        </is>
      </c>
    </row>
    <row r="82">
      <c r="A82" s="8" t="inlineStr">
        <is>
          <t>MIR</t>
        </is>
      </c>
      <c r="B82" s="8" t="inlineStr">
        <is>
          <t>Abyss</t>
        </is>
      </c>
      <c r="C82" s="8" t="n">
        <v>7</v>
      </c>
      <c r="D82" s="8" t="n">
        <v>3</v>
      </c>
      <c r="E82" s="8" t="n">
        <v>0.7</v>
      </c>
      <c r="F82" s="8" t="inlineStr">
        <is>
          <t>atk</t>
        </is>
      </c>
    </row>
    <row r="83">
      <c r="A83" s="12" t="inlineStr">
        <is>
          <t>MIR</t>
        </is>
      </c>
      <c r="B83" s="12" t="inlineStr">
        <is>
          <t>Abyss</t>
        </is>
      </c>
      <c r="C83" s="12" t="n">
        <v>2</v>
      </c>
      <c r="D83" s="12" t="n">
        <v>2</v>
      </c>
      <c r="E83" s="12" t="n">
        <v>0.5</v>
      </c>
      <c r="F83" s="12" t="inlineStr">
        <is>
          <t>def</t>
        </is>
      </c>
    </row>
    <row r="84">
      <c r="A84" s="8" t="inlineStr">
        <is>
          <t>MIR</t>
        </is>
      </c>
      <c r="B84" s="8" t="inlineStr">
        <is>
          <t>Bind</t>
        </is>
      </c>
      <c r="C84" s="8" t="n">
        <v>12</v>
      </c>
      <c r="D84" s="8" t="n">
        <v>17</v>
      </c>
      <c r="E84" s="8" t="n">
        <v>0.41</v>
      </c>
      <c r="F84" s="8" t="inlineStr">
        <is>
          <t>atk</t>
        </is>
      </c>
    </row>
    <row r="85">
      <c r="A85" s="12" t="inlineStr">
        <is>
          <t>MIR</t>
        </is>
      </c>
      <c r="B85" s="12" t="inlineStr">
        <is>
          <t>Bind</t>
        </is>
      </c>
      <c r="C85" s="12" t="n">
        <v>16</v>
      </c>
      <c r="D85" s="12" t="n">
        <v>10</v>
      </c>
      <c r="E85" s="12" t="n">
        <v>0.62</v>
      </c>
      <c r="F85" s="12" t="inlineStr">
        <is>
          <t>def</t>
        </is>
      </c>
    </row>
    <row r="86">
      <c r="A86" s="8" t="inlineStr">
        <is>
          <t>MIR</t>
        </is>
      </c>
      <c r="B86" s="8" t="inlineStr">
        <is>
          <t>Breeze</t>
        </is>
      </c>
      <c r="C86" s="8" t="n">
        <v>19</v>
      </c>
      <c r="D86" s="8" t="n">
        <v>11</v>
      </c>
      <c r="E86" s="8" t="n">
        <v>0.63</v>
      </c>
      <c r="F86" s="8" t="inlineStr">
        <is>
          <t>atk</t>
        </is>
      </c>
    </row>
    <row r="87">
      <c r="A87" s="12" t="inlineStr">
        <is>
          <t>MIR</t>
        </is>
      </c>
      <c r="B87" s="12" t="inlineStr">
        <is>
          <t>Breeze</t>
        </is>
      </c>
      <c r="C87" s="12" t="n">
        <v>11</v>
      </c>
      <c r="D87" s="12" t="n">
        <v>11</v>
      </c>
      <c r="E87" s="12" t="n">
        <v>0.5</v>
      </c>
      <c r="F87" s="12" t="inlineStr">
        <is>
          <t>def</t>
        </is>
      </c>
    </row>
    <row r="88">
      <c r="A88" s="8" t="inlineStr">
        <is>
          <t>MIR</t>
        </is>
      </c>
      <c r="B88" s="8" t="inlineStr">
        <is>
          <t>Corrode</t>
        </is>
      </c>
      <c r="C88" s="8" t="n">
        <v>0</v>
      </c>
      <c r="D88" s="8" t="n">
        <v>10</v>
      </c>
      <c r="E88" s="8" t="n">
        <v>0</v>
      </c>
      <c r="F88" s="8" t="inlineStr">
        <is>
          <t>atk</t>
        </is>
      </c>
    </row>
    <row r="89">
      <c r="A89" s="12" t="inlineStr">
        <is>
          <t>MIR</t>
        </is>
      </c>
      <c r="B89" s="12" t="inlineStr">
        <is>
          <t>Corrode</t>
        </is>
      </c>
      <c r="C89" s="12" t="n">
        <v>3</v>
      </c>
      <c r="D89" s="12" t="n">
        <v>1</v>
      </c>
      <c r="E89" s="12" t="n">
        <v>0.75</v>
      </c>
      <c r="F89" s="12" t="inlineStr">
        <is>
          <t>def</t>
        </is>
      </c>
    </row>
    <row r="90">
      <c r="A90" s="8" t="inlineStr">
        <is>
          <t>MIR</t>
        </is>
      </c>
      <c r="B90" s="8" t="inlineStr">
        <is>
          <t>Haven</t>
        </is>
      </c>
      <c r="C90" s="8" t="n">
        <v>8</v>
      </c>
      <c r="D90" s="8" t="n">
        <v>3</v>
      </c>
      <c r="E90" s="8" t="n">
        <v>0.73</v>
      </c>
      <c r="F90" s="8" t="inlineStr">
        <is>
          <t>atk</t>
        </is>
      </c>
    </row>
    <row r="91">
      <c r="A91" s="12" t="inlineStr">
        <is>
          <t>MIR</t>
        </is>
      </c>
      <c r="B91" s="12" t="inlineStr">
        <is>
          <t>Haven</t>
        </is>
      </c>
      <c r="C91" s="12" t="n">
        <v>4</v>
      </c>
      <c r="D91" s="12" t="n">
        <v>7</v>
      </c>
      <c r="E91" s="12" t="n">
        <v>0.36</v>
      </c>
      <c r="F91" s="12" t="inlineStr">
        <is>
          <t>def</t>
        </is>
      </c>
    </row>
    <row r="92">
      <c r="A92" s="8" t="inlineStr">
        <is>
          <t>MIR</t>
        </is>
      </c>
      <c r="B92" s="8" t="inlineStr">
        <is>
          <t>Split</t>
        </is>
      </c>
      <c r="C92" s="8" t="n">
        <v>4</v>
      </c>
      <c r="D92" s="8" t="n">
        <v>6</v>
      </c>
      <c r="E92" s="8" t="n">
        <v>0.4</v>
      </c>
      <c r="F92" s="8" t="inlineStr">
        <is>
          <t>atk</t>
        </is>
      </c>
    </row>
    <row r="93">
      <c r="A93" s="12" t="inlineStr">
        <is>
          <t>MIR</t>
        </is>
      </c>
      <c r="B93" s="12" t="inlineStr">
        <is>
          <t>Split</t>
        </is>
      </c>
      <c r="C93" s="12" t="n">
        <v>4</v>
      </c>
      <c r="D93" s="12" t="n">
        <v>4</v>
      </c>
      <c r="E93" s="12" t="n">
        <v>0.5</v>
      </c>
      <c r="F93" s="12" t="inlineStr">
        <is>
          <t>def</t>
        </is>
      </c>
    </row>
    <row r="94">
      <c r="A94" s="8" t="inlineStr">
        <is>
          <t>Mandatory</t>
        </is>
      </c>
      <c r="B94" s="8" t="inlineStr">
        <is>
          <t>Abyss</t>
        </is>
      </c>
      <c r="C94" s="8" t="n">
        <v>16</v>
      </c>
      <c r="D94" s="8" t="n">
        <v>9</v>
      </c>
      <c r="E94" s="8" t="n">
        <v>0.64</v>
      </c>
      <c r="F94" s="8" t="inlineStr">
        <is>
          <t>atk</t>
        </is>
      </c>
    </row>
    <row r="95">
      <c r="A95" s="12" t="inlineStr">
        <is>
          <t>Mandatory</t>
        </is>
      </c>
      <c r="B95" s="12" t="inlineStr">
        <is>
          <t>Abyss</t>
        </is>
      </c>
      <c r="C95" s="12" t="n">
        <v>11</v>
      </c>
      <c r="D95" s="12" t="n">
        <v>10</v>
      </c>
      <c r="E95" s="12" t="n">
        <v>0.52</v>
      </c>
      <c r="F95" s="12" t="inlineStr">
        <is>
          <t>def</t>
        </is>
      </c>
    </row>
    <row r="96">
      <c r="A96" s="8" t="inlineStr">
        <is>
          <t>Mandatory</t>
        </is>
      </c>
      <c r="B96" s="8" t="inlineStr">
        <is>
          <t>Bind</t>
        </is>
      </c>
      <c r="C96" s="8" t="n">
        <v>7</v>
      </c>
      <c r="D96" s="8" t="n">
        <v>3</v>
      </c>
      <c r="E96" s="8" t="n">
        <v>0.7</v>
      </c>
      <c r="F96" s="8" t="inlineStr">
        <is>
          <t>atk</t>
        </is>
      </c>
    </row>
    <row r="97">
      <c r="A97" s="12" t="inlineStr">
        <is>
          <t>Mandatory</t>
        </is>
      </c>
      <c r="B97" s="12" t="inlineStr">
        <is>
          <t>Bind</t>
        </is>
      </c>
      <c r="C97" s="12" t="n">
        <v>4</v>
      </c>
      <c r="D97" s="12" t="n">
        <v>6</v>
      </c>
      <c r="E97" s="12" t="n">
        <v>0.4</v>
      </c>
      <c r="F97" s="12" t="inlineStr">
        <is>
          <t>def</t>
        </is>
      </c>
    </row>
    <row r="98">
      <c r="A98" s="8" t="inlineStr">
        <is>
          <t>Mandatory</t>
        </is>
      </c>
      <c r="B98" s="8" t="inlineStr">
        <is>
          <t>Breeze</t>
        </is>
      </c>
      <c r="C98" s="8" t="n">
        <v>22</v>
      </c>
      <c r="D98" s="8" t="n">
        <v>13</v>
      </c>
      <c r="E98" s="8" t="n">
        <v>0.63</v>
      </c>
      <c r="F98" s="8" t="inlineStr">
        <is>
          <t>atk</t>
        </is>
      </c>
    </row>
    <row r="99">
      <c r="A99" s="12" t="inlineStr">
        <is>
          <t>Mandatory</t>
        </is>
      </c>
      <c r="B99" s="12" t="inlineStr">
        <is>
          <t>Breeze</t>
        </is>
      </c>
      <c r="C99" s="12" t="n">
        <v>12</v>
      </c>
      <c r="D99" s="12" t="n">
        <v>14</v>
      </c>
      <c r="E99" s="12" t="n">
        <v>0.46</v>
      </c>
      <c r="F99" s="12" t="inlineStr">
        <is>
          <t>def</t>
        </is>
      </c>
    </row>
    <row r="100">
      <c r="A100" s="8" t="inlineStr">
        <is>
          <t>Mandatory</t>
        </is>
      </c>
      <c r="B100" s="8" t="inlineStr">
        <is>
          <t>Corrode</t>
        </is>
      </c>
      <c r="C100" s="8" t="n">
        <v>39</v>
      </c>
      <c r="D100" s="8" t="n">
        <v>21</v>
      </c>
      <c r="E100" s="8" t="n">
        <v>0.65</v>
      </c>
      <c r="F100" s="8" t="inlineStr">
        <is>
          <t>atk</t>
        </is>
      </c>
    </row>
    <row r="101">
      <c r="A101" s="12" t="inlineStr">
        <is>
          <t>Mandatory</t>
        </is>
      </c>
      <c r="B101" s="12" t="inlineStr">
        <is>
          <t>Corrode</t>
        </is>
      </c>
      <c r="C101" s="12" t="n">
        <v>23</v>
      </c>
      <c r="D101" s="12" t="n">
        <v>22</v>
      </c>
      <c r="E101" s="12" t="n">
        <v>0.51</v>
      </c>
      <c r="F101" s="12" t="inlineStr">
        <is>
          <t>def</t>
        </is>
      </c>
    </row>
    <row r="102">
      <c r="A102" s="8" t="inlineStr">
        <is>
          <t>Mandatory</t>
        </is>
      </c>
      <c r="B102" s="8" t="inlineStr">
        <is>
          <t>Haven</t>
        </is>
      </c>
      <c r="C102" s="8" t="n">
        <v>50</v>
      </c>
      <c r="D102" s="8" t="n">
        <v>27</v>
      </c>
      <c r="E102" s="8" t="n">
        <v>0.65</v>
      </c>
      <c r="F102" s="8" t="inlineStr">
        <is>
          <t>atk</t>
        </is>
      </c>
    </row>
    <row r="103">
      <c r="A103" s="12" t="inlineStr">
        <is>
          <t>Mandatory</t>
        </is>
      </c>
      <c r="B103" s="12" t="inlineStr">
        <is>
          <t>Haven</t>
        </is>
      </c>
      <c r="C103" s="12" t="n">
        <v>30</v>
      </c>
      <c r="D103" s="12" t="n">
        <v>15</v>
      </c>
      <c r="E103" s="12" t="n">
        <v>0.67</v>
      </c>
      <c r="F103" s="12" t="inlineStr">
        <is>
          <t>def</t>
        </is>
      </c>
    </row>
    <row r="104">
      <c r="A104" s="8" t="inlineStr">
        <is>
          <t>Mandatory</t>
        </is>
      </c>
      <c r="B104" s="8" t="inlineStr">
        <is>
          <t>Pearl</t>
        </is>
      </c>
      <c r="C104" s="8" t="n">
        <v>16</v>
      </c>
      <c r="D104" s="8" t="n">
        <v>9</v>
      </c>
      <c r="E104" s="8" t="n">
        <v>0.64</v>
      </c>
      <c r="F104" s="8" t="inlineStr">
        <is>
          <t>atk</t>
        </is>
      </c>
    </row>
    <row r="105">
      <c r="A105" s="12" t="inlineStr">
        <is>
          <t>Mandatory</t>
        </is>
      </c>
      <c r="B105" s="12" t="inlineStr">
        <is>
          <t>Pearl</t>
        </is>
      </c>
      <c r="C105" s="12" t="n">
        <v>7</v>
      </c>
      <c r="D105" s="12" t="n">
        <v>12</v>
      </c>
      <c r="E105" s="12" t="n">
        <v>0.37</v>
      </c>
      <c r="F105" s="12" t="inlineStr">
        <is>
          <t>def</t>
        </is>
      </c>
    </row>
    <row r="106">
      <c r="A106" s="8" t="inlineStr">
        <is>
          <t>Mandatory</t>
        </is>
      </c>
      <c r="B106" s="8" t="inlineStr">
        <is>
          <t>Split</t>
        </is>
      </c>
      <c r="C106" s="8" t="n">
        <v>19</v>
      </c>
      <c r="D106" s="8" t="n">
        <v>18</v>
      </c>
      <c r="E106" s="8" t="n">
        <v>0.51</v>
      </c>
      <c r="F106" s="8" t="inlineStr">
        <is>
          <t>atk</t>
        </is>
      </c>
    </row>
    <row r="107">
      <c r="A107" s="12" t="inlineStr">
        <is>
          <t>Mandatory</t>
        </is>
      </c>
      <c r="B107" s="12" t="inlineStr">
        <is>
          <t>Split</t>
        </is>
      </c>
      <c r="C107" s="12" t="n">
        <v>15</v>
      </c>
      <c r="D107" s="12" t="n">
        <v>14</v>
      </c>
      <c r="E107" s="12" t="n">
        <v>0.52</v>
      </c>
      <c r="F107" s="12" t="inlineStr">
        <is>
          <t>def</t>
        </is>
      </c>
    </row>
    <row r="108">
      <c r="A108" s="8" t="inlineStr">
        <is>
          <t>Misa Esports</t>
        </is>
      </c>
      <c r="B108" s="8" t="inlineStr">
        <is>
          <t>Abyss</t>
        </is>
      </c>
      <c r="C108" s="8" t="n">
        <v>13</v>
      </c>
      <c r="D108" s="8" t="n">
        <v>5</v>
      </c>
      <c r="E108" s="8" t="n">
        <v>0.72</v>
      </c>
      <c r="F108" s="8" t="inlineStr">
        <is>
          <t>atk</t>
        </is>
      </c>
    </row>
    <row r="109">
      <c r="A109" s="12" t="inlineStr">
        <is>
          <t>Misa Esports</t>
        </is>
      </c>
      <c r="B109" s="12" t="inlineStr">
        <is>
          <t>Abyss</t>
        </is>
      </c>
      <c r="C109" s="12" t="n">
        <v>16</v>
      </c>
      <c r="D109" s="12" t="n">
        <v>14</v>
      </c>
      <c r="E109" s="12" t="n">
        <v>0.53</v>
      </c>
      <c r="F109" s="12" t="inlineStr">
        <is>
          <t>def</t>
        </is>
      </c>
    </row>
    <row r="110">
      <c r="A110" s="8" t="inlineStr">
        <is>
          <t>Misa Esports</t>
        </is>
      </c>
      <c r="B110" s="8" t="inlineStr">
        <is>
          <t>Bind</t>
        </is>
      </c>
      <c r="C110" s="8" t="n">
        <v>4</v>
      </c>
      <c r="D110" s="8" t="n">
        <v>1</v>
      </c>
      <c r="E110" s="8" t="n">
        <v>0.8</v>
      </c>
      <c r="F110" s="8" t="inlineStr">
        <is>
          <t>atk</t>
        </is>
      </c>
    </row>
    <row r="111">
      <c r="A111" s="12" t="inlineStr">
        <is>
          <t>Misa Esports</t>
        </is>
      </c>
      <c r="B111" s="12" t="inlineStr">
        <is>
          <t>Bind</t>
        </is>
      </c>
      <c r="C111" s="12" t="n">
        <v>5</v>
      </c>
      <c r="D111" s="12" t="n">
        <v>5</v>
      </c>
      <c r="E111" s="12" t="n">
        <v>0.5</v>
      </c>
      <c r="F111" s="12" t="inlineStr">
        <is>
          <t>def</t>
        </is>
      </c>
    </row>
    <row r="112">
      <c r="A112" s="8" t="inlineStr">
        <is>
          <t>Misa Esports</t>
        </is>
      </c>
      <c r="B112" s="8" t="inlineStr">
        <is>
          <t>Breeze</t>
        </is>
      </c>
      <c r="C112" s="8" t="n">
        <v>9</v>
      </c>
      <c r="D112" s="8" t="n">
        <v>2</v>
      </c>
      <c r="E112" s="8" t="n">
        <v>0.82</v>
      </c>
      <c r="F112" s="8" t="inlineStr">
        <is>
          <t>atk</t>
        </is>
      </c>
    </row>
    <row r="113">
      <c r="A113" s="12" t="inlineStr">
        <is>
          <t>Misa Esports</t>
        </is>
      </c>
      <c r="B113" s="12" t="inlineStr">
        <is>
          <t>Breeze</t>
        </is>
      </c>
      <c r="C113" s="12" t="n">
        <v>15</v>
      </c>
      <c r="D113" s="12" t="n">
        <v>5</v>
      </c>
      <c r="E113" s="12" t="n">
        <v>0.75</v>
      </c>
      <c r="F113" s="12" t="inlineStr">
        <is>
          <t>def</t>
        </is>
      </c>
    </row>
    <row r="114">
      <c r="A114" s="8" t="inlineStr">
        <is>
          <t>Misa Esports</t>
        </is>
      </c>
      <c r="B114" s="8" t="inlineStr">
        <is>
          <t>Corrode</t>
        </is>
      </c>
      <c r="C114" s="8" t="n">
        <v>13</v>
      </c>
      <c r="D114" s="8" t="n">
        <v>19</v>
      </c>
      <c r="E114" s="8" t="n">
        <v>0.41</v>
      </c>
      <c r="F114" s="8" t="inlineStr">
        <is>
          <t>atk</t>
        </is>
      </c>
    </row>
    <row r="115">
      <c r="A115" s="12" t="inlineStr">
        <is>
          <t>Misa Esports</t>
        </is>
      </c>
      <c r="B115" s="12" t="inlineStr">
        <is>
          <t>Corrode</t>
        </is>
      </c>
      <c r="C115" s="12" t="n">
        <v>15</v>
      </c>
      <c r="D115" s="12" t="n">
        <v>11</v>
      </c>
      <c r="E115" s="12" t="n">
        <v>0.58</v>
      </c>
      <c r="F115" s="12" t="inlineStr">
        <is>
          <t>def</t>
        </is>
      </c>
    </row>
    <row r="116">
      <c r="A116" s="8" t="inlineStr">
        <is>
          <t>Misa Esports</t>
        </is>
      </c>
      <c r="B116" s="8" t="inlineStr">
        <is>
          <t>Haven</t>
        </is>
      </c>
      <c r="C116" s="8" t="n">
        <v>38</v>
      </c>
      <c r="D116" s="8" t="n">
        <v>19</v>
      </c>
      <c r="E116" s="8" t="n">
        <v>0.67</v>
      </c>
      <c r="F116" s="8" t="inlineStr">
        <is>
          <t>atk</t>
        </is>
      </c>
    </row>
    <row r="117">
      <c r="A117" s="12" t="inlineStr">
        <is>
          <t>Misa Esports</t>
        </is>
      </c>
      <c r="B117" s="12" t="inlineStr">
        <is>
          <t>Haven</t>
        </is>
      </c>
      <c r="C117" s="12" t="n">
        <v>28</v>
      </c>
      <c r="D117" s="12" t="n">
        <v>28</v>
      </c>
      <c r="E117" s="12" t="n">
        <v>0.5</v>
      </c>
      <c r="F117" s="12" t="inlineStr">
        <is>
          <t>def</t>
        </is>
      </c>
    </row>
    <row r="118">
      <c r="A118" s="8" t="inlineStr">
        <is>
          <t>Misa Esports</t>
        </is>
      </c>
      <c r="B118" s="8" t="inlineStr">
        <is>
          <t>Pearl</t>
        </is>
      </c>
      <c r="C118" s="8" t="n">
        <v>14</v>
      </c>
      <c r="D118" s="8" t="n">
        <v>11</v>
      </c>
      <c r="E118" s="8" t="n">
        <v>0.5600000000000001</v>
      </c>
      <c r="F118" s="8" t="inlineStr">
        <is>
          <t>atk</t>
        </is>
      </c>
    </row>
    <row r="119">
      <c r="A119" s="12" t="inlineStr">
        <is>
          <t>Misa Esports</t>
        </is>
      </c>
      <c r="B119" s="12" t="inlineStr">
        <is>
          <t>Pearl</t>
        </is>
      </c>
      <c r="C119" s="12" t="n">
        <v>18</v>
      </c>
      <c r="D119" s="12" t="n">
        <v>11</v>
      </c>
      <c r="E119" s="12" t="n">
        <v>0.62</v>
      </c>
      <c r="F119" s="12" t="inlineStr">
        <is>
          <t>def</t>
        </is>
      </c>
    </row>
    <row r="120">
      <c r="A120" s="8" t="inlineStr">
        <is>
          <t>Misa Esports</t>
        </is>
      </c>
      <c r="B120" s="8" t="inlineStr">
        <is>
          <t>Split</t>
        </is>
      </c>
      <c r="C120" s="8" t="n">
        <v>17</v>
      </c>
      <c r="D120" s="8" t="n">
        <v>14</v>
      </c>
      <c r="E120" s="8" t="n">
        <v>0.55</v>
      </c>
      <c r="F120" s="8" t="inlineStr">
        <is>
          <t>atk</t>
        </is>
      </c>
    </row>
    <row r="121">
      <c r="A121" s="12" t="inlineStr">
        <is>
          <t>Misa Esports</t>
        </is>
      </c>
      <c r="B121" s="12" t="inlineStr">
        <is>
          <t>Split</t>
        </is>
      </c>
      <c r="C121" s="12" t="n">
        <v>17</v>
      </c>
      <c r="D121" s="12" t="n">
        <v>32</v>
      </c>
      <c r="E121" s="12" t="n">
        <v>0.35</v>
      </c>
      <c r="F121" s="12" t="inlineStr">
        <is>
          <t>def</t>
        </is>
      </c>
    </row>
    <row r="122">
      <c r="A122" s="8" t="inlineStr">
        <is>
          <t>Pixel Lumina</t>
        </is>
      </c>
      <c r="B122" s="8" t="inlineStr">
        <is>
          <t>Bind</t>
        </is>
      </c>
      <c r="C122" s="8" t="n">
        <v>18</v>
      </c>
      <c r="D122" s="8" t="n">
        <v>9</v>
      </c>
      <c r="E122" s="8" t="n">
        <v>0.67</v>
      </c>
      <c r="F122" s="8" t="inlineStr">
        <is>
          <t>atk</t>
        </is>
      </c>
    </row>
    <row r="123">
      <c r="A123" s="12" t="inlineStr">
        <is>
          <t>Pixel Lumina</t>
        </is>
      </c>
      <c r="B123" s="12" t="inlineStr">
        <is>
          <t>Bind</t>
        </is>
      </c>
      <c r="C123" s="12" t="n">
        <v>15</v>
      </c>
      <c r="D123" s="12" t="n">
        <v>15</v>
      </c>
      <c r="E123" s="12" t="n">
        <v>0.5</v>
      </c>
      <c r="F123" s="12" t="inlineStr">
        <is>
          <t>def</t>
        </is>
      </c>
    </row>
    <row r="124">
      <c r="A124" s="8" t="inlineStr">
        <is>
          <t>Pixel Lumina</t>
        </is>
      </c>
      <c r="B124" s="8" t="inlineStr">
        <is>
          <t>Breeze</t>
        </is>
      </c>
      <c r="C124" s="8" t="n">
        <v>7</v>
      </c>
      <c r="D124" s="8" t="n">
        <v>8</v>
      </c>
      <c r="E124" s="8" t="n">
        <v>0.47</v>
      </c>
      <c r="F124" s="8" t="inlineStr">
        <is>
          <t>atk</t>
        </is>
      </c>
    </row>
    <row r="125">
      <c r="A125" s="12" t="inlineStr">
        <is>
          <t>Pixel Lumina</t>
        </is>
      </c>
      <c r="B125" s="12" t="inlineStr">
        <is>
          <t>Breeze</t>
        </is>
      </c>
      <c r="C125" s="12" t="n">
        <v>4</v>
      </c>
      <c r="D125" s="12" t="n">
        <v>10</v>
      </c>
      <c r="E125" s="12" t="n">
        <v>0.29</v>
      </c>
      <c r="F125" s="12" t="inlineStr">
        <is>
          <t>def</t>
        </is>
      </c>
    </row>
    <row r="126">
      <c r="A126" s="8" t="inlineStr">
        <is>
          <t>Pixel Lumina</t>
        </is>
      </c>
      <c r="B126" s="8" t="inlineStr">
        <is>
          <t>Pearl</t>
        </is>
      </c>
      <c r="C126" s="8" t="n">
        <v>8</v>
      </c>
      <c r="D126" s="8" t="n">
        <v>4</v>
      </c>
      <c r="E126" s="8" t="n">
        <v>0.67</v>
      </c>
      <c r="F126" s="8" t="inlineStr">
        <is>
          <t>atk</t>
        </is>
      </c>
    </row>
    <row r="127">
      <c r="A127" s="12" t="inlineStr">
        <is>
          <t>Pixel Lumina</t>
        </is>
      </c>
      <c r="B127" s="12" t="inlineStr">
        <is>
          <t>Pearl</t>
        </is>
      </c>
      <c r="C127" s="12" t="n">
        <v>9</v>
      </c>
      <c r="D127" s="12" t="n">
        <v>11</v>
      </c>
      <c r="E127" s="12" t="n">
        <v>0.45</v>
      </c>
      <c r="F127" s="12" t="inlineStr">
        <is>
          <t>def</t>
        </is>
      </c>
    </row>
    <row r="128">
      <c r="A128" s="8" t="inlineStr">
        <is>
          <t>Pixel Lumina</t>
        </is>
      </c>
      <c r="B128" s="8" t="inlineStr">
        <is>
          <t>Split</t>
        </is>
      </c>
      <c r="C128" s="8" t="n">
        <v>20</v>
      </c>
      <c r="D128" s="8" t="n">
        <v>28</v>
      </c>
      <c r="E128" s="8" t="n">
        <v>0.42</v>
      </c>
      <c r="F128" s="8" t="inlineStr">
        <is>
          <t>atk</t>
        </is>
      </c>
    </row>
    <row r="129">
      <c r="A129" s="12" t="inlineStr">
        <is>
          <t>Pixel Lumina</t>
        </is>
      </c>
      <c r="B129" s="12" t="inlineStr">
        <is>
          <t>Split</t>
        </is>
      </c>
      <c r="C129" s="12" t="n">
        <v>19</v>
      </c>
      <c r="D129" s="12" t="n">
        <v>21</v>
      </c>
      <c r="E129" s="12" t="n">
        <v>0.47</v>
      </c>
      <c r="F129" s="12" t="inlineStr">
        <is>
          <t>def</t>
        </is>
      </c>
    </row>
    <row r="130">
      <c r="A130" s="8" t="inlineStr">
        <is>
          <t>S2G Esports</t>
        </is>
      </c>
      <c r="B130" s="8" t="inlineStr">
        <is>
          <t>Abyss</t>
        </is>
      </c>
      <c r="C130" s="8" t="n">
        <v>38</v>
      </c>
      <c r="D130" s="8" t="n">
        <v>23</v>
      </c>
      <c r="E130" s="8" t="n">
        <v>0.62</v>
      </c>
      <c r="F130" s="8" t="inlineStr">
        <is>
          <t>atk</t>
        </is>
      </c>
    </row>
    <row r="131">
      <c r="A131" s="12" t="inlineStr">
        <is>
          <t>S2G Esports</t>
        </is>
      </c>
      <c r="B131" s="12" t="inlineStr">
        <is>
          <t>Abyss</t>
        </is>
      </c>
      <c r="C131" s="12" t="n">
        <v>22</v>
      </c>
      <c r="D131" s="12" t="n">
        <v>25</v>
      </c>
      <c r="E131" s="12" t="n">
        <v>0.47</v>
      </c>
      <c r="F131" s="12" t="inlineStr">
        <is>
          <t>def</t>
        </is>
      </c>
    </row>
    <row r="132">
      <c r="A132" s="8" t="inlineStr">
        <is>
          <t>S2G Esports</t>
        </is>
      </c>
      <c r="B132" s="8" t="inlineStr">
        <is>
          <t>Bind</t>
        </is>
      </c>
      <c r="C132" s="8" t="n">
        <v>3</v>
      </c>
      <c r="D132" s="8" t="n">
        <v>7</v>
      </c>
      <c r="E132" s="8" t="n">
        <v>0.3</v>
      </c>
      <c r="F132" s="8" t="inlineStr">
        <is>
          <t>atk</t>
        </is>
      </c>
    </row>
    <row r="133">
      <c r="A133" s="12" t="inlineStr">
        <is>
          <t>S2G Esports</t>
        </is>
      </c>
      <c r="B133" s="12" t="inlineStr">
        <is>
          <t>Bind</t>
        </is>
      </c>
      <c r="C133" s="12" t="n">
        <v>3</v>
      </c>
      <c r="D133" s="12" t="n">
        <v>6</v>
      </c>
      <c r="E133" s="12" t="n">
        <v>0.33</v>
      </c>
      <c r="F133" s="12" t="inlineStr">
        <is>
          <t>def</t>
        </is>
      </c>
    </row>
    <row r="134">
      <c r="A134" s="8" t="inlineStr">
        <is>
          <t>S2G Esports</t>
        </is>
      </c>
      <c r="B134" s="8" t="inlineStr">
        <is>
          <t>Breeze</t>
        </is>
      </c>
      <c r="C134" s="8" t="n">
        <v>25</v>
      </c>
      <c r="D134" s="8" t="n">
        <v>27</v>
      </c>
      <c r="E134" s="8" t="n">
        <v>0.48</v>
      </c>
      <c r="F134" s="8" t="inlineStr">
        <is>
          <t>atk</t>
        </is>
      </c>
    </row>
    <row r="135">
      <c r="A135" s="12" t="inlineStr">
        <is>
          <t>S2G Esports</t>
        </is>
      </c>
      <c r="B135" s="12" t="inlineStr">
        <is>
          <t>Breeze</t>
        </is>
      </c>
      <c r="C135" s="12" t="n">
        <v>24</v>
      </c>
      <c r="D135" s="12" t="n">
        <v>29</v>
      </c>
      <c r="E135" s="12" t="n">
        <v>0.45</v>
      </c>
      <c r="F135" s="12" t="inlineStr">
        <is>
          <t>def</t>
        </is>
      </c>
    </row>
    <row r="136">
      <c r="A136" s="8" t="inlineStr">
        <is>
          <t>S2G Esports</t>
        </is>
      </c>
      <c r="B136" s="8" t="inlineStr">
        <is>
          <t>Corrode</t>
        </is>
      </c>
      <c r="C136" s="8" t="n">
        <v>15</v>
      </c>
      <c r="D136" s="8" t="n">
        <v>24</v>
      </c>
      <c r="E136" s="8" t="n">
        <v>0.38</v>
      </c>
      <c r="F136" s="8" t="inlineStr">
        <is>
          <t>atk</t>
        </is>
      </c>
    </row>
    <row r="137">
      <c r="A137" s="12" t="inlineStr">
        <is>
          <t>S2G Esports</t>
        </is>
      </c>
      <c r="B137" s="12" t="inlineStr">
        <is>
          <t>Corrode</t>
        </is>
      </c>
      <c r="C137" s="12" t="n">
        <v>19</v>
      </c>
      <c r="D137" s="12" t="n">
        <v>17</v>
      </c>
      <c r="E137" s="12" t="n">
        <v>0.53</v>
      </c>
      <c r="F137" s="12" t="inlineStr">
        <is>
          <t>def</t>
        </is>
      </c>
    </row>
    <row r="138">
      <c r="A138" s="8" t="inlineStr">
        <is>
          <t>S2G Esports</t>
        </is>
      </c>
      <c r="B138" s="8" t="inlineStr">
        <is>
          <t>Haven</t>
        </is>
      </c>
      <c r="C138" s="8" t="n">
        <v>11</v>
      </c>
      <c r="D138" s="8" t="n">
        <v>16</v>
      </c>
      <c r="E138" s="8" t="n">
        <v>0.41</v>
      </c>
      <c r="F138" s="8" t="inlineStr">
        <is>
          <t>atk</t>
        </is>
      </c>
    </row>
    <row r="139">
      <c r="A139" s="12" t="inlineStr">
        <is>
          <t>S2G Esports</t>
        </is>
      </c>
      <c r="B139" s="12" t="inlineStr">
        <is>
          <t>Haven</t>
        </is>
      </c>
      <c r="C139" s="12" t="n">
        <v>18</v>
      </c>
      <c r="D139" s="12" t="n">
        <v>21</v>
      </c>
      <c r="E139" s="12" t="n">
        <v>0.46</v>
      </c>
      <c r="F139" s="12" t="inlineStr">
        <is>
          <t>def</t>
        </is>
      </c>
    </row>
    <row r="140">
      <c r="A140" s="8" t="inlineStr">
        <is>
          <t>S2G Esports</t>
        </is>
      </c>
      <c r="B140" s="8" t="inlineStr">
        <is>
          <t>Pearl</t>
        </is>
      </c>
      <c r="C140" s="8" t="n">
        <v>18</v>
      </c>
      <c r="D140" s="8" t="n">
        <v>21</v>
      </c>
      <c r="E140" s="8" t="n">
        <v>0.46</v>
      </c>
      <c r="F140" s="8" t="inlineStr">
        <is>
          <t>atk</t>
        </is>
      </c>
    </row>
    <row r="141">
      <c r="A141" s="12" t="inlineStr">
        <is>
          <t>S2G Esports</t>
        </is>
      </c>
      <c r="B141" s="12" t="inlineStr">
        <is>
          <t>Pearl</t>
        </is>
      </c>
      <c r="C141" s="12" t="n">
        <v>13</v>
      </c>
      <c r="D141" s="12" t="n">
        <v>21</v>
      </c>
      <c r="E141" s="12" t="n">
        <v>0.38</v>
      </c>
      <c r="F141" s="12" t="inlineStr">
        <is>
          <t>def</t>
        </is>
      </c>
    </row>
    <row r="142">
      <c r="A142" s="8" t="inlineStr">
        <is>
          <t>S2G Esports</t>
        </is>
      </c>
      <c r="B142" s="8" t="inlineStr">
        <is>
          <t>Split</t>
        </is>
      </c>
      <c r="C142" s="8" t="n">
        <v>21</v>
      </c>
      <c r="D142" s="8" t="n">
        <v>19</v>
      </c>
      <c r="E142" s="8" t="n">
        <v>0.53</v>
      </c>
      <c r="F142" s="8" t="inlineStr">
        <is>
          <t>atk</t>
        </is>
      </c>
    </row>
    <row r="143">
      <c r="A143" s="12" t="inlineStr">
        <is>
          <t>S2G Esports</t>
        </is>
      </c>
      <c r="B143" s="12" t="inlineStr">
        <is>
          <t>Split</t>
        </is>
      </c>
      <c r="C143" s="12" t="n">
        <v>16</v>
      </c>
      <c r="D143" s="12" t="n">
        <v>16</v>
      </c>
      <c r="E143" s="12" t="n">
        <v>0.5</v>
      </c>
      <c r="F143" s="12" t="inlineStr">
        <is>
          <t>def</t>
        </is>
      </c>
    </row>
    <row r="144">
      <c r="A144" s="8" t="inlineStr">
        <is>
          <t>Stallions Esports</t>
        </is>
      </c>
      <c r="B144" s="8" t="inlineStr">
        <is>
          <t>Abyss</t>
        </is>
      </c>
      <c r="C144" s="8" t="n">
        <v>33</v>
      </c>
      <c r="D144" s="8" t="n">
        <v>10</v>
      </c>
      <c r="E144" s="8" t="n">
        <v>0.77</v>
      </c>
      <c r="F144" s="8" t="inlineStr">
        <is>
          <t>atk</t>
        </is>
      </c>
    </row>
    <row r="145">
      <c r="A145" s="12" t="inlineStr">
        <is>
          <t>Stallions Esports</t>
        </is>
      </c>
      <c r="B145" s="12" t="inlineStr">
        <is>
          <t>Abyss</t>
        </is>
      </c>
      <c r="C145" s="12" t="n">
        <v>12</v>
      </c>
      <c r="D145" s="12" t="n">
        <v>25</v>
      </c>
      <c r="E145" s="12" t="n">
        <v>0.32</v>
      </c>
      <c r="F145" s="12" t="inlineStr">
        <is>
          <t>def</t>
        </is>
      </c>
    </row>
    <row r="146">
      <c r="A146" s="8" t="inlineStr">
        <is>
          <t>Stallions Esports</t>
        </is>
      </c>
      <c r="B146" s="8" t="inlineStr">
        <is>
          <t>Ascent</t>
        </is>
      </c>
      <c r="C146" s="8" t="n">
        <v>12</v>
      </c>
      <c r="D146" s="8" t="n">
        <v>2</v>
      </c>
      <c r="E146" s="8" t="n">
        <v>0.86</v>
      </c>
      <c r="F146" s="8" t="inlineStr">
        <is>
          <t>atk</t>
        </is>
      </c>
    </row>
    <row r="147">
      <c r="A147" s="12" t="inlineStr">
        <is>
          <t>Stallions Esports</t>
        </is>
      </c>
      <c r="B147" s="12" t="inlineStr">
        <is>
          <t>Bind</t>
        </is>
      </c>
      <c r="C147" s="12" t="n">
        <v>25</v>
      </c>
      <c r="D147" s="12" t="n">
        <v>16</v>
      </c>
      <c r="E147" s="12" t="n">
        <v>0.61</v>
      </c>
      <c r="F147" s="12" t="inlineStr">
        <is>
          <t>atk</t>
        </is>
      </c>
    </row>
    <row r="148">
      <c r="A148" s="8" t="inlineStr">
        <is>
          <t>Stallions Esports</t>
        </is>
      </c>
      <c r="B148" s="8" t="inlineStr">
        <is>
          <t>Bind</t>
        </is>
      </c>
      <c r="C148" s="8" t="n">
        <v>14</v>
      </c>
      <c r="D148" s="8" t="n">
        <v>27</v>
      </c>
      <c r="E148" s="8" t="n">
        <v>0.34</v>
      </c>
      <c r="F148" s="8" t="inlineStr">
        <is>
          <t>def</t>
        </is>
      </c>
    </row>
    <row r="149">
      <c r="A149" s="12" t="inlineStr">
        <is>
          <t>Stallions Esports</t>
        </is>
      </c>
      <c r="B149" s="12" t="inlineStr">
        <is>
          <t>Breeze</t>
        </is>
      </c>
      <c r="C149" s="12" t="n">
        <v>8</v>
      </c>
      <c r="D149" s="12" t="n">
        <v>12</v>
      </c>
      <c r="E149" s="12" t="n">
        <v>0.4</v>
      </c>
      <c r="F149" s="12" t="inlineStr">
        <is>
          <t>atk</t>
        </is>
      </c>
    </row>
    <row r="150">
      <c r="A150" s="8" t="inlineStr">
        <is>
          <t>Stallions Esports</t>
        </is>
      </c>
      <c r="B150" s="8" t="inlineStr">
        <is>
          <t>Breeze</t>
        </is>
      </c>
      <c r="C150" s="8" t="n">
        <v>6</v>
      </c>
      <c r="D150" s="8" t="n">
        <v>11</v>
      </c>
      <c r="E150" s="8" t="n">
        <v>0.35</v>
      </c>
      <c r="F150" s="8" t="inlineStr">
        <is>
          <t>def</t>
        </is>
      </c>
    </row>
    <row r="151">
      <c r="A151" s="12" t="inlineStr">
        <is>
          <t>Stallions Esports</t>
        </is>
      </c>
      <c r="B151" s="12" t="inlineStr">
        <is>
          <t>Corrode</t>
        </is>
      </c>
      <c r="C151" s="12" t="n">
        <v>36</v>
      </c>
      <c r="D151" s="12" t="n">
        <v>20</v>
      </c>
      <c r="E151" s="12" t="n">
        <v>0.64</v>
      </c>
      <c r="F151" s="12" t="inlineStr">
        <is>
          <t>atk</t>
        </is>
      </c>
    </row>
    <row r="152">
      <c r="A152" s="8" t="inlineStr">
        <is>
          <t>Stallions Esports</t>
        </is>
      </c>
      <c r="B152" s="8" t="inlineStr">
        <is>
          <t>Corrode</t>
        </is>
      </c>
      <c r="C152" s="8" t="n">
        <v>45</v>
      </c>
      <c r="D152" s="8" t="n">
        <v>27</v>
      </c>
      <c r="E152" s="8" t="n">
        <v>0.62</v>
      </c>
      <c r="F152" s="8" t="inlineStr">
        <is>
          <t>def</t>
        </is>
      </c>
    </row>
    <row r="153">
      <c r="A153" s="12" t="inlineStr">
        <is>
          <t>Stallions Esports</t>
        </is>
      </c>
      <c r="B153" s="12" t="inlineStr">
        <is>
          <t>Split</t>
        </is>
      </c>
      <c r="C153" s="12" t="n">
        <v>33</v>
      </c>
      <c r="D153" s="12" t="n">
        <v>41</v>
      </c>
      <c r="E153" s="12" t="n">
        <v>0.45</v>
      </c>
      <c r="F153" s="12" t="inlineStr">
        <is>
          <t>atk</t>
        </is>
      </c>
    </row>
    <row r="154">
      <c r="A154" s="8" t="inlineStr">
        <is>
          <t>Stallions Esports</t>
        </is>
      </c>
      <c r="B154" s="8" t="inlineStr">
        <is>
          <t>Split</t>
        </is>
      </c>
      <c r="C154" s="8" t="n">
        <v>38</v>
      </c>
      <c r="D154" s="8" t="n">
        <v>27</v>
      </c>
      <c r="E154" s="8" t="n">
        <v>0.58</v>
      </c>
      <c r="F154" s="8" t="inlineStr">
        <is>
          <t>def</t>
        </is>
      </c>
    </row>
    <row r="155">
      <c r="A155" s="12" t="inlineStr">
        <is>
          <t>Stallions Esports</t>
        </is>
      </c>
      <c r="B155" s="12" t="inlineStr">
        <is>
          <t>Sunset</t>
        </is>
      </c>
      <c r="C155" s="12" t="n">
        <v>9</v>
      </c>
      <c r="D155" s="12" t="n">
        <v>1</v>
      </c>
      <c r="E155" s="12" t="n">
        <v>0.9</v>
      </c>
      <c r="F155" s="12" t="inlineStr">
        <is>
          <t>atk</t>
        </is>
      </c>
    </row>
    <row r="156">
      <c r="A156" s="8" t="inlineStr">
        <is>
          <t>Team Liquid Academy</t>
        </is>
      </c>
      <c r="B156" s="8" t="inlineStr">
        <is>
          <t>Abyss</t>
        </is>
      </c>
      <c r="C156" s="8" t="n">
        <v>6</v>
      </c>
      <c r="D156" s="8" t="n">
        <v>2</v>
      </c>
      <c r="E156" s="8" t="n">
        <v>0.75</v>
      </c>
      <c r="F156" s="8" t="inlineStr">
        <is>
          <t>atk</t>
        </is>
      </c>
    </row>
    <row r="157">
      <c r="A157" s="12" t="inlineStr">
        <is>
          <t>Team Liquid Academy</t>
        </is>
      </c>
      <c r="B157" s="12" t="inlineStr">
        <is>
          <t>Abyss</t>
        </is>
      </c>
      <c r="C157" s="12" t="n">
        <v>3</v>
      </c>
      <c r="D157" s="12" t="n">
        <v>7</v>
      </c>
      <c r="E157" s="12" t="n">
        <v>0.3</v>
      </c>
      <c r="F157" s="12" t="inlineStr">
        <is>
          <t>def</t>
        </is>
      </c>
    </row>
    <row r="158">
      <c r="A158" s="8" t="inlineStr">
        <is>
          <t>Team Liquid Academy</t>
        </is>
      </c>
      <c r="B158" s="8" t="inlineStr">
        <is>
          <t>Bind</t>
        </is>
      </c>
      <c r="C158" s="8" t="n">
        <v>4</v>
      </c>
      <c r="D158" s="8" t="n">
        <v>2</v>
      </c>
      <c r="E158" s="8" t="n">
        <v>0.67</v>
      </c>
      <c r="F158" s="8" t="inlineStr">
        <is>
          <t>atk</t>
        </is>
      </c>
    </row>
    <row r="159">
      <c r="A159" s="12" t="inlineStr">
        <is>
          <t>Team Liquid Academy</t>
        </is>
      </c>
      <c r="B159" s="12" t="inlineStr">
        <is>
          <t>Bind</t>
        </is>
      </c>
      <c r="C159" s="12" t="n">
        <v>8</v>
      </c>
      <c r="D159" s="12" t="n">
        <v>2</v>
      </c>
      <c r="E159" s="12" t="n">
        <v>0.8</v>
      </c>
      <c r="F159" s="12" t="inlineStr">
        <is>
          <t>def</t>
        </is>
      </c>
    </row>
    <row r="160">
      <c r="A160" s="8" t="inlineStr">
        <is>
          <t>Team Liquid Academy</t>
        </is>
      </c>
      <c r="B160" s="8" t="inlineStr">
        <is>
          <t>Breeze</t>
        </is>
      </c>
      <c r="C160" s="8" t="n">
        <v>9</v>
      </c>
      <c r="D160" s="8" t="n">
        <v>9</v>
      </c>
      <c r="E160" s="8" t="n">
        <v>0.5</v>
      </c>
      <c r="F160" s="8" t="inlineStr">
        <is>
          <t>atk</t>
        </is>
      </c>
    </row>
    <row r="161">
      <c r="A161" s="12" t="inlineStr">
        <is>
          <t>Team Liquid Academy</t>
        </is>
      </c>
      <c r="B161" s="12" t="inlineStr">
        <is>
          <t>Breeze</t>
        </is>
      </c>
      <c r="C161" s="12" t="n">
        <v>10</v>
      </c>
      <c r="D161" s="12" t="n">
        <v>8</v>
      </c>
      <c r="E161" s="12" t="n">
        <v>0.5600000000000001</v>
      </c>
      <c r="F161" s="12" t="inlineStr">
        <is>
          <t>def</t>
        </is>
      </c>
    </row>
    <row r="162">
      <c r="A162" s="8" t="inlineStr">
        <is>
          <t>Team Liquid Academy</t>
        </is>
      </c>
      <c r="B162" s="8" t="inlineStr">
        <is>
          <t>Corrode</t>
        </is>
      </c>
      <c r="C162" s="8" t="n">
        <v>64</v>
      </c>
      <c r="D162" s="8" t="n">
        <v>25</v>
      </c>
      <c r="E162" s="8" t="n">
        <v>0.72</v>
      </c>
      <c r="F162" s="8" t="inlineStr">
        <is>
          <t>atk</t>
        </is>
      </c>
    </row>
    <row r="163">
      <c r="A163" s="12" t="inlineStr">
        <is>
          <t>Team Liquid Academy</t>
        </is>
      </c>
      <c r="B163" s="12" t="inlineStr">
        <is>
          <t>Corrode</t>
        </is>
      </c>
      <c r="C163" s="12" t="n">
        <v>50</v>
      </c>
      <c r="D163" s="12" t="n">
        <v>45</v>
      </c>
      <c r="E163" s="12" t="n">
        <v>0.53</v>
      </c>
      <c r="F163" s="12" t="inlineStr">
        <is>
          <t>def</t>
        </is>
      </c>
    </row>
    <row r="164">
      <c r="A164" s="8" t="inlineStr">
        <is>
          <t>Team Liquid Academy</t>
        </is>
      </c>
      <c r="B164" s="8" t="inlineStr">
        <is>
          <t>Haven</t>
        </is>
      </c>
      <c r="C164" s="8" t="n">
        <v>16</v>
      </c>
      <c r="D164" s="8" t="n">
        <v>11</v>
      </c>
      <c r="E164" s="8" t="n">
        <v>0.59</v>
      </c>
      <c r="F164" s="8" t="inlineStr">
        <is>
          <t>atk</t>
        </is>
      </c>
    </row>
    <row r="165">
      <c r="A165" s="12" t="inlineStr">
        <is>
          <t>Team Liquid Academy</t>
        </is>
      </c>
      <c r="B165" s="12" t="inlineStr">
        <is>
          <t>Haven</t>
        </is>
      </c>
      <c r="C165" s="12" t="n">
        <v>23</v>
      </c>
      <c r="D165" s="12" t="n">
        <v>9</v>
      </c>
      <c r="E165" s="12" t="n">
        <v>0.72</v>
      </c>
      <c r="F165" s="12" t="inlineStr">
        <is>
          <t>def</t>
        </is>
      </c>
    </row>
    <row r="166">
      <c r="A166" s="8" t="inlineStr">
        <is>
          <t>Team Liquid Academy</t>
        </is>
      </c>
      <c r="B166" s="8" t="inlineStr">
        <is>
          <t>Pearl</t>
        </is>
      </c>
      <c r="C166" s="8" t="n">
        <v>46</v>
      </c>
      <c r="D166" s="8" t="n">
        <v>29</v>
      </c>
      <c r="E166" s="8" t="n">
        <v>0.61</v>
      </c>
      <c r="F166" s="8" t="inlineStr">
        <is>
          <t>atk</t>
        </is>
      </c>
    </row>
    <row r="167">
      <c r="A167" s="12" t="inlineStr">
        <is>
          <t>Team Liquid Academy</t>
        </is>
      </c>
      <c r="B167" s="12" t="inlineStr">
        <is>
          <t>Pearl</t>
        </is>
      </c>
      <c r="C167" s="12" t="n">
        <v>51</v>
      </c>
      <c r="D167" s="12" t="n">
        <v>26</v>
      </c>
      <c r="E167" s="12" t="n">
        <v>0.66</v>
      </c>
      <c r="F167" s="12" t="inlineStr">
        <is>
          <t>def</t>
        </is>
      </c>
    </row>
    <row r="168">
      <c r="A168" s="8" t="inlineStr">
        <is>
          <t>Team Liquid Academy</t>
        </is>
      </c>
      <c r="B168" s="8" t="inlineStr">
        <is>
          <t>Split</t>
        </is>
      </c>
      <c r="C168" s="8" t="n">
        <v>17</v>
      </c>
      <c r="D168" s="8" t="n">
        <v>20</v>
      </c>
      <c r="E168" s="8" t="n">
        <v>0.46</v>
      </c>
      <c r="F168" s="8" t="inlineStr">
        <is>
          <t>atk</t>
        </is>
      </c>
    </row>
    <row r="169">
      <c r="A169" s="12" t="inlineStr">
        <is>
          <t>Team Liquid Academy</t>
        </is>
      </c>
      <c r="B169" s="12" t="inlineStr">
        <is>
          <t>Split</t>
        </is>
      </c>
      <c r="C169" s="12" t="n">
        <v>15</v>
      </c>
      <c r="D169" s="12" t="n">
        <v>12</v>
      </c>
      <c r="E169" s="12" t="n">
        <v>0.5600000000000001</v>
      </c>
      <c r="F169" s="12" t="inlineStr">
        <is>
          <t>def</t>
        </is>
      </c>
    </row>
    <row r="170">
      <c r="A170" s="8" t="inlineStr">
        <is>
          <t>UCAM Esports</t>
        </is>
      </c>
      <c r="B170" s="8" t="inlineStr">
        <is>
          <t>Abyss</t>
        </is>
      </c>
      <c r="C170" s="8" t="n">
        <v>7</v>
      </c>
      <c r="D170" s="8" t="n">
        <v>10</v>
      </c>
      <c r="E170" s="8" t="n">
        <v>0.41</v>
      </c>
      <c r="F170" s="8" t="inlineStr">
        <is>
          <t>atk</t>
        </is>
      </c>
    </row>
    <row r="171">
      <c r="A171" s="12" t="inlineStr">
        <is>
          <t>UCAM Esports</t>
        </is>
      </c>
      <c r="B171" s="12" t="inlineStr">
        <is>
          <t>Abyss</t>
        </is>
      </c>
      <c r="C171" s="12" t="n">
        <v>6</v>
      </c>
      <c r="D171" s="12" t="n">
        <v>14</v>
      </c>
      <c r="E171" s="12" t="n">
        <v>0.3</v>
      </c>
      <c r="F171" s="12" t="inlineStr">
        <is>
          <t>def</t>
        </is>
      </c>
    </row>
    <row r="172">
      <c r="A172" s="8" t="inlineStr">
        <is>
          <t>UCAM Esports</t>
        </is>
      </c>
      <c r="B172" s="8" t="inlineStr">
        <is>
          <t>Bind</t>
        </is>
      </c>
      <c r="C172" s="8" t="n">
        <v>46</v>
      </c>
      <c r="D172" s="8" t="n">
        <v>48</v>
      </c>
      <c r="E172" s="8" t="n">
        <v>0.49</v>
      </c>
      <c r="F172" s="8" t="inlineStr">
        <is>
          <t>atk</t>
        </is>
      </c>
    </row>
    <row r="173">
      <c r="A173" s="12" t="inlineStr">
        <is>
          <t>UCAM Esports</t>
        </is>
      </c>
      <c r="B173" s="12" t="inlineStr">
        <is>
          <t>Bind</t>
        </is>
      </c>
      <c r="C173" s="12" t="n">
        <v>61</v>
      </c>
      <c r="D173" s="12" t="n">
        <v>56</v>
      </c>
      <c r="E173" s="12" t="n">
        <v>0.52</v>
      </c>
      <c r="F173" s="12" t="inlineStr">
        <is>
          <t>def</t>
        </is>
      </c>
    </row>
    <row r="174">
      <c r="A174" s="8" t="inlineStr">
        <is>
          <t>UCAM Esports</t>
        </is>
      </c>
      <c r="B174" s="8" t="inlineStr">
        <is>
          <t>Breeze</t>
        </is>
      </c>
      <c r="C174" s="8" t="n">
        <v>7</v>
      </c>
      <c r="D174" s="8" t="n">
        <v>9</v>
      </c>
      <c r="E174" s="8" t="n">
        <v>0.44</v>
      </c>
      <c r="F174" s="8" t="inlineStr">
        <is>
          <t>atk</t>
        </is>
      </c>
    </row>
    <row r="175">
      <c r="A175" s="12" t="inlineStr">
        <is>
          <t>UCAM Esports</t>
        </is>
      </c>
      <c r="B175" s="12" t="inlineStr">
        <is>
          <t>Breeze</t>
        </is>
      </c>
      <c r="C175" s="12" t="n">
        <v>11</v>
      </c>
      <c r="D175" s="12" t="n">
        <v>8</v>
      </c>
      <c r="E175" s="12" t="n">
        <v>0.58</v>
      </c>
      <c r="F175" s="12" t="inlineStr">
        <is>
          <t>def</t>
        </is>
      </c>
    </row>
    <row r="176">
      <c r="A176" s="8" t="inlineStr">
        <is>
          <t>UCAM Esports</t>
        </is>
      </c>
      <c r="B176" s="8" t="inlineStr">
        <is>
          <t>Corrode</t>
        </is>
      </c>
      <c r="C176" s="8" t="n">
        <v>62</v>
      </c>
      <c r="D176" s="8" t="n">
        <v>41</v>
      </c>
      <c r="E176" s="8" t="n">
        <v>0.6</v>
      </c>
      <c r="F176" s="8" t="inlineStr">
        <is>
          <t>atk</t>
        </is>
      </c>
    </row>
    <row r="177">
      <c r="A177" s="12" t="inlineStr">
        <is>
          <t>UCAM Esports</t>
        </is>
      </c>
      <c r="B177" s="12" t="inlineStr">
        <is>
          <t>Corrode</t>
        </is>
      </c>
      <c r="C177" s="12" t="n">
        <v>46</v>
      </c>
      <c r="D177" s="12" t="n">
        <v>33</v>
      </c>
      <c r="E177" s="12" t="n">
        <v>0.58</v>
      </c>
      <c r="F177" s="12" t="inlineStr">
        <is>
          <t>def</t>
        </is>
      </c>
    </row>
    <row r="178">
      <c r="A178" s="8" t="inlineStr">
        <is>
          <t>UCAM Esports</t>
        </is>
      </c>
      <c r="B178" s="8" t="inlineStr">
        <is>
          <t>Haven</t>
        </is>
      </c>
      <c r="C178" s="8" t="n">
        <v>51</v>
      </c>
      <c r="D178" s="8" t="n">
        <v>43</v>
      </c>
      <c r="E178" s="8" t="n">
        <v>0.54</v>
      </c>
      <c r="F178" s="8" t="inlineStr">
        <is>
          <t>atk</t>
        </is>
      </c>
    </row>
    <row r="179">
      <c r="A179" s="12" t="inlineStr">
        <is>
          <t>UCAM Esports</t>
        </is>
      </c>
      <c r="B179" s="12" t="inlineStr">
        <is>
          <t>Haven</t>
        </is>
      </c>
      <c r="C179" s="12" t="n">
        <v>54</v>
      </c>
      <c r="D179" s="12" t="n">
        <v>35</v>
      </c>
      <c r="E179" s="12" t="n">
        <v>0.61</v>
      </c>
      <c r="F179" s="12" t="inlineStr">
        <is>
          <t>def</t>
        </is>
      </c>
    </row>
    <row r="180">
      <c r="A180" s="8" t="inlineStr">
        <is>
          <t>UCAM Esports</t>
        </is>
      </c>
      <c r="B180" s="8" t="inlineStr">
        <is>
          <t>Pearl</t>
        </is>
      </c>
      <c r="C180" s="8" t="n">
        <v>8</v>
      </c>
      <c r="D180" s="8" t="n">
        <v>19</v>
      </c>
      <c r="E180" s="8" t="n">
        <v>0.3</v>
      </c>
      <c r="F180" s="8" t="inlineStr">
        <is>
          <t>atk</t>
        </is>
      </c>
    </row>
    <row r="181">
      <c r="A181" s="12" t="inlineStr">
        <is>
          <t>UCAM Esports</t>
        </is>
      </c>
      <c r="B181" s="12" t="inlineStr">
        <is>
          <t>Pearl</t>
        </is>
      </c>
      <c r="C181" s="12" t="n">
        <v>20</v>
      </c>
      <c r="D181" s="12" t="n">
        <v>3</v>
      </c>
      <c r="E181" s="12" t="n">
        <v>0.87</v>
      </c>
      <c r="F181" s="12" t="inlineStr">
        <is>
          <t>def</t>
        </is>
      </c>
    </row>
    <row r="182">
      <c r="A182" s="8" t="inlineStr">
        <is>
          <t>UCAM Esports</t>
        </is>
      </c>
      <c r="B182" s="8" t="inlineStr">
        <is>
          <t>Split</t>
        </is>
      </c>
      <c r="C182" s="8" t="n">
        <v>15</v>
      </c>
      <c r="D182" s="8" t="n">
        <v>20</v>
      </c>
      <c r="E182" s="8" t="n">
        <v>0.43</v>
      </c>
      <c r="F182" s="8" t="inlineStr">
        <is>
          <t>atk</t>
        </is>
      </c>
    </row>
    <row r="183">
      <c r="A183" s="12" t="inlineStr">
        <is>
          <t>UCAM Esports</t>
        </is>
      </c>
      <c r="B183" s="12" t="inlineStr">
        <is>
          <t>Split</t>
        </is>
      </c>
      <c r="C183" s="12" t="n">
        <v>19</v>
      </c>
      <c r="D183" s="12" t="n">
        <v>21</v>
      </c>
      <c r="E183" s="12" t="n">
        <v>0.47</v>
      </c>
      <c r="F183" s="12" t="inlineStr">
        <is>
          <t>def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33333"/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Team</t>
        </is>
      </c>
      <c r="B1" s="4" t="inlineStr">
        <is>
          <t>Situation</t>
        </is>
      </c>
      <c r="C1" s="4" t="inlineStr">
        <is>
          <t>team1</t>
        </is>
      </c>
      <c r="D1" s="4" t="inlineStr">
        <is>
          <t>team2</t>
        </is>
      </c>
      <c r="E1" s="4" t="inlineStr">
        <is>
          <t>Delta</t>
        </is>
      </c>
      <c r="F1" s="4" t="inlineStr">
        <is>
          <t>Wins</t>
        </is>
      </c>
      <c r="G1" s="4" t="inlineStr">
        <is>
          <t>Losses</t>
        </is>
      </c>
      <c r="H1" s="4" t="inlineStr">
        <is>
          <t>Win %</t>
        </is>
      </c>
    </row>
    <row r="2">
      <c r="A2" s="8" t="inlineStr">
        <is>
          <t>Barça eSports</t>
        </is>
      </c>
      <c r="B2" s="8" t="inlineStr">
        <is>
          <t>5v1</t>
        </is>
      </c>
      <c r="C2" s="8" t="n">
        <v>5</v>
      </c>
      <c r="D2" s="8" t="n">
        <v>1</v>
      </c>
      <c r="E2" s="8" t="inlineStr">
        <is>
          <t>+4</t>
        </is>
      </c>
      <c r="F2" s="8" t="n">
        <v>62</v>
      </c>
      <c r="G2" s="8" t="n">
        <v>0</v>
      </c>
      <c r="H2" s="8" t="n">
        <v>100</v>
      </c>
    </row>
    <row r="3">
      <c r="A3" s="12" t="inlineStr">
        <is>
          <t>Barça eSports</t>
        </is>
      </c>
      <c r="B3" s="12" t="inlineStr">
        <is>
          <t>5v2</t>
        </is>
      </c>
      <c r="C3" s="12" t="n">
        <v>5</v>
      </c>
      <c r="D3" s="12" t="n">
        <v>2</v>
      </c>
      <c r="E3" s="12" t="inlineStr">
        <is>
          <t>+3</t>
        </is>
      </c>
      <c r="F3" s="12" t="n">
        <v>97</v>
      </c>
      <c r="G3" s="12" t="n">
        <v>2</v>
      </c>
      <c r="H3" s="12" t="n">
        <v>97.98</v>
      </c>
    </row>
    <row r="4">
      <c r="A4" s="8" t="inlineStr">
        <is>
          <t>Barça eSports</t>
        </is>
      </c>
      <c r="B4" s="8" t="inlineStr">
        <is>
          <t>4v1</t>
        </is>
      </c>
      <c r="C4" s="8" t="n">
        <v>4</v>
      </c>
      <c r="D4" s="8" t="n">
        <v>1</v>
      </c>
      <c r="E4" s="8" t="inlineStr">
        <is>
          <t>+3</t>
        </is>
      </c>
      <c r="F4" s="8" t="n">
        <v>116</v>
      </c>
      <c r="G4" s="8" t="n">
        <v>0</v>
      </c>
      <c r="H4" s="8" t="n">
        <v>100</v>
      </c>
    </row>
    <row r="5">
      <c r="A5" s="12" t="inlineStr">
        <is>
          <t>Barça eSports</t>
        </is>
      </c>
      <c r="B5" s="12" t="inlineStr">
        <is>
          <t>5v3</t>
        </is>
      </c>
      <c r="C5" s="12" t="n">
        <v>5</v>
      </c>
      <c r="D5" s="12" t="n">
        <v>3</v>
      </c>
      <c r="E5" s="12" t="inlineStr">
        <is>
          <t>+2</t>
        </is>
      </c>
      <c r="F5" s="12" t="n">
        <v>154</v>
      </c>
      <c r="G5" s="12" t="n">
        <v>16</v>
      </c>
      <c r="H5" s="12" t="n">
        <v>90.59</v>
      </c>
    </row>
    <row r="6">
      <c r="A6" s="8" t="inlineStr">
        <is>
          <t>Barça eSports</t>
        </is>
      </c>
      <c r="B6" s="8" t="inlineStr">
        <is>
          <t>4v2</t>
        </is>
      </c>
      <c r="C6" s="8" t="n">
        <v>4</v>
      </c>
      <c r="D6" s="8" t="n">
        <v>2</v>
      </c>
      <c r="E6" s="8" t="inlineStr">
        <is>
          <t>+2</t>
        </is>
      </c>
      <c r="F6" s="8" t="n">
        <v>156</v>
      </c>
      <c r="G6" s="8" t="n">
        <v>11</v>
      </c>
      <c r="H6" s="8" t="n">
        <v>93.41</v>
      </c>
    </row>
    <row r="7">
      <c r="A7" s="12" t="inlineStr">
        <is>
          <t>Barça eSports</t>
        </is>
      </c>
      <c r="B7" s="12" t="inlineStr">
        <is>
          <t>3v1</t>
        </is>
      </c>
      <c r="C7" s="12" t="n">
        <v>3</v>
      </c>
      <c r="D7" s="12" t="n">
        <v>1</v>
      </c>
      <c r="E7" s="12" t="inlineStr">
        <is>
          <t>+2</t>
        </is>
      </c>
      <c r="F7" s="12" t="n">
        <v>145</v>
      </c>
      <c r="G7" s="12" t="n">
        <v>3</v>
      </c>
      <c r="H7" s="12" t="n">
        <v>97.97</v>
      </c>
    </row>
    <row r="8">
      <c r="A8" s="8" t="inlineStr">
        <is>
          <t>Barça eSports</t>
        </is>
      </c>
      <c r="B8" s="8" t="inlineStr">
        <is>
          <t>5v4</t>
        </is>
      </c>
      <c r="C8" s="8" t="n">
        <v>5</v>
      </c>
      <c r="D8" s="8" t="n">
        <v>4</v>
      </c>
      <c r="E8" s="8" t="inlineStr">
        <is>
          <t>+1</t>
        </is>
      </c>
      <c r="F8" s="8" t="n">
        <v>218</v>
      </c>
      <c r="G8" s="8" t="n">
        <v>78</v>
      </c>
      <c r="H8" s="8" t="n">
        <v>73.65000000000001</v>
      </c>
    </row>
    <row r="9">
      <c r="A9" s="12" t="inlineStr">
        <is>
          <t>Barça eSports</t>
        </is>
      </c>
      <c r="B9" s="12" t="inlineStr">
        <is>
          <t>4v3</t>
        </is>
      </c>
      <c r="C9" s="12" t="n">
        <v>4</v>
      </c>
      <c r="D9" s="12" t="n">
        <v>3</v>
      </c>
      <c r="E9" s="12" t="inlineStr">
        <is>
          <t>+1</t>
        </is>
      </c>
      <c r="F9" s="12" t="n">
        <v>180</v>
      </c>
      <c r="G9" s="12" t="n">
        <v>46</v>
      </c>
      <c r="H9" s="12" t="n">
        <v>79.65000000000001</v>
      </c>
    </row>
    <row r="10">
      <c r="A10" s="8" t="inlineStr">
        <is>
          <t>Barça eSports</t>
        </is>
      </c>
      <c r="B10" s="8" t="inlineStr">
        <is>
          <t>3v2</t>
        </is>
      </c>
      <c r="C10" s="8" t="n">
        <v>3</v>
      </c>
      <c r="D10" s="8" t="n">
        <v>2</v>
      </c>
      <c r="E10" s="8" t="inlineStr">
        <is>
          <t>+1</t>
        </is>
      </c>
      <c r="F10" s="8" t="n">
        <v>151</v>
      </c>
      <c r="G10" s="8" t="n">
        <v>30</v>
      </c>
      <c r="H10" s="8" t="n">
        <v>83.43000000000001</v>
      </c>
    </row>
    <row r="11">
      <c r="A11" s="12" t="inlineStr">
        <is>
          <t>Barça eSports</t>
        </is>
      </c>
      <c r="B11" s="12" t="inlineStr">
        <is>
          <t>2v1</t>
        </is>
      </c>
      <c r="C11" s="12" t="n">
        <v>2</v>
      </c>
      <c r="D11" s="12" t="n">
        <v>1</v>
      </c>
      <c r="E11" s="12" t="inlineStr">
        <is>
          <t>+1</t>
        </is>
      </c>
      <c r="F11" s="12" t="n">
        <v>108</v>
      </c>
      <c r="G11" s="12" t="n">
        <v>12</v>
      </c>
      <c r="H11" s="12" t="n">
        <v>90</v>
      </c>
    </row>
    <row r="12">
      <c r="A12" s="8" t="inlineStr">
        <is>
          <t>Barça eSports</t>
        </is>
      </c>
      <c r="B12" s="8" t="inlineStr">
        <is>
          <t>5v5</t>
        </is>
      </c>
      <c r="C12" s="8" t="n">
        <v>5</v>
      </c>
      <c r="D12" s="8" t="n">
        <v>5</v>
      </c>
      <c r="E12" s="8" t="inlineStr">
        <is>
          <t>0</t>
        </is>
      </c>
      <c r="F12" s="8" t="n">
        <v>298</v>
      </c>
      <c r="G12" s="8" t="n">
        <v>239</v>
      </c>
      <c r="H12" s="8" t="n">
        <v>55.49</v>
      </c>
    </row>
    <row r="13">
      <c r="A13" s="12" t="inlineStr">
        <is>
          <t>Barça eSports</t>
        </is>
      </c>
      <c r="B13" s="12" t="inlineStr">
        <is>
          <t>4v4</t>
        </is>
      </c>
      <c r="C13" s="12" t="n">
        <v>4</v>
      </c>
      <c r="D13" s="12" t="n">
        <v>4</v>
      </c>
      <c r="E13" s="12" t="inlineStr">
        <is>
          <t>0</t>
        </is>
      </c>
      <c r="F13" s="12" t="n">
        <v>164</v>
      </c>
      <c r="G13" s="12" t="n">
        <v>120</v>
      </c>
      <c r="H13" s="12" t="n">
        <v>57.75</v>
      </c>
    </row>
    <row r="14">
      <c r="A14" s="8" t="inlineStr">
        <is>
          <t>Barça eSports</t>
        </is>
      </c>
      <c r="B14" s="8" t="inlineStr">
        <is>
          <t>3v3</t>
        </is>
      </c>
      <c r="C14" s="8" t="n">
        <v>3</v>
      </c>
      <c r="D14" s="8" t="n">
        <v>3</v>
      </c>
      <c r="E14" s="8" t="inlineStr">
        <is>
          <t>0</t>
        </is>
      </c>
      <c r="F14" s="8" t="n">
        <v>118</v>
      </c>
      <c r="G14" s="8" t="n">
        <v>81</v>
      </c>
      <c r="H14" s="8" t="n">
        <v>59.3</v>
      </c>
    </row>
    <row r="15">
      <c r="A15" s="12" t="inlineStr">
        <is>
          <t>Barça eSports</t>
        </is>
      </c>
      <c r="B15" s="12" t="inlineStr">
        <is>
          <t>2v2</t>
        </is>
      </c>
      <c r="C15" s="12" t="n">
        <v>2</v>
      </c>
      <c r="D15" s="12" t="n">
        <v>2</v>
      </c>
      <c r="E15" s="12" t="inlineStr">
        <is>
          <t>0</t>
        </is>
      </c>
      <c r="F15" s="12" t="n">
        <v>82</v>
      </c>
      <c r="G15" s="12" t="n">
        <v>71</v>
      </c>
      <c r="H15" s="12" t="n">
        <v>53.59</v>
      </c>
    </row>
    <row r="16">
      <c r="A16" s="8" t="inlineStr">
        <is>
          <t>Barça eSports</t>
        </is>
      </c>
      <c r="B16" s="8" t="inlineStr">
        <is>
          <t>1v1</t>
        </is>
      </c>
      <c r="C16" s="8" t="n">
        <v>1</v>
      </c>
      <c r="D16" s="8" t="n">
        <v>1</v>
      </c>
      <c r="E16" s="8" t="inlineStr">
        <is>
          <t>0</t>
        </is>
      </c>
      <c r="F16" s="8" t="n">
        <v>63</v>
      </c>
      <c r="G16" s="8" t="n">
        <v>39</v>
      </c>
      <c r="H16" s="8" t="n">
        <v>61.76</v>
      </c>
    </row>
    <row r="17">
      <c r="A17" s="12" t="inlineStr">
        <is>
          <t>Barça eSports</t>
        </is>
      </c>
      <c r="B17" s="12" t="inlineStr">
        <is>
          <t>4v5</t>
        </is>
      </c>
      <c r="C17" s="12" t="n">
        <v>4</v>
      </c>
      <c r="D17" s="12" t="n">
        <v>5</v>
      </c>
      <c r="E17" s="12" t="inlineStr">
        <is>
          <t>-1</t>
        </is>
      </c>
      <c r="F17" s="12" t="n">
        <v>130</v>
      </c>
      <c r="G17" s="12" t="n">
        <v>174</v>
      </c>
      <c r="H17" s="12" t="n">
        <v>42.76</v>
      </c>
    </row>
    <row r="18">
      <c r="A18" s="8" t="inlineStr">
        <is>
          <t>Barça eSports</t>
        </is>
      </c>
      <c r="B18" s="8" t="inlineStr">
        <is>
          <t>3v4</t>
        </is>
      </c>
      <c r="C18" s="8" t="n">
        <v>3</v>
      </c>
      <c r="D18" s="8" t="n">
        <v>4</v>
      </c>
      <c r="E18" s="8" t="inlineStr">
        <is>
          <t>-1</t>
        </is>
      </c>
      <c r="F18" s="8" t="n">
        <v>75</v>
      </c>
      <c r="G18" s="8" t="n">
        <v>142</v>
      </c>
      <c r="H18" s="8" t="n">
        <v>34.56</v>
      </c>
    </row>
    <row r="19">
      <c r="A19" s="12" t="inlineStr">
        <is>
          <t>Barça eSports</t>
        </is>
      </c>
      <c r="B19" s="12" t="inlineStr">
        <is>
          <t>2v3</t>
        </is>
      </c>
      <c r="C19" s="12" t="n">
        <v>2</v>
      </c>
      <c r="D19" s="12" t="n">
        <v>3</v>
      </c>
      <c r="E19" s="12" t="inlineStr">
        <is>
          <t>-1</t>
        </is>
      </c>
      <c r="F19" s="12" t="n">
        <v>45</v>
      </c>
      <c r="G19" s="12" t="n">
        <v>116</v>
      </c>
      <c r="H19" s="12" t="n">
        <v>27.95</v>
      </c>
    </row>
    <row r="20">
      <c r="A20" s="8" t="inlineStr">
        <is>
          <t>Barça eSports</t>
        </is>
      </c>
      <c r="B20" s="8" t="inlineStr">
        <is>
          <t>1v2</t>
        </is>
      </c>
      <c r="C20" s="8" t="n">
        <v>1</v>
      </c>
      <c r="D20" s="8" t="n">
        <v>2</v>
      </c>
      <c r="E20" s="8" t="inlineStr">
        <is>
          <t>-1</t>
        </is>
      </c>
      <c r="F20" s="8" t="n">
        <v>27</v>
      </c>
      <c r="G20" s="8" t="n">
        <v>97</v>
      </c>
      <c r="H20" s="8" t="n">
        <v>21.77</v>
      </c>
    </row>
    <row r="21">
      <c r="A21" s="12" t="inlineStr">
        <is>
          <t>Barça eSports</t>
        </is>
      </c>
      <c r="B21" s="12" t="inlineStr">
        <is>
          <t>3v5</t>
        </is>
      </c>
      <c r="C21" s="12" t="n">
        <v>3</v>
      </c>
      <c r="D21" s="12" t="n">
        <v>5</v>
      </c>
      <c r="E21" s="12" t="inlineStr">
        <is>
          <t>-2</t>
        </is>
      </c>
      <c r="F21" s="12" t="n">
        <v>41</v>
      </c>
      <c r="G21" s="12" t="n">
        <v>129</v>
      </c>
      <c r="H21" s="12" t="n">
        <v>24.12</v>
      </c>
    </row>
    <row r="22">
      <c r="A22" s="8" t="inlineStr">
        <is>
          <t>Barça eSports</t>
        </is>
      </c>
      <c r="B22" s="8" t="inlineStr">
        <is>
          <t>2v4</t>
        </is>
      </c>
      <c r="C22" s="8" t="n">
        <v>2</v>
      </c>
      <c r="D22" s="8" t="n">
        <v>4</v>
      </c>
      <c r="E22" s="8" t="inlineStr">
        <is>
          <t>-2</t>
        </is>
      </c>
      <c r="F22" s="8" t="n">
        <v>17</v>
      </c>
      <c r="G22" s="8" t="n">
        <v>132</v>
      </c>
      <c r="H22" s="8" t="n">
        <v>11.41</v>
      </c>
    </row>
    <row r="23">
      <c r="A23" s="12" t="inlineStr">
        <is>
          <t>Barça eSports</t>
        </is>
      </c>
      <c r="B23" s="12" t="inlineStr">
        <is>
          <t>1v3</t>
        </is>
      </c>
      <c r="C23" s="12" t="n">
        <v>1</v>
      </c>
      <c r="D23" s="12" t="n">
        <v>3</v>
      </c>
      <c r="E23" s="12" t="inlineStr">
        <is>
          <t>-2</t>
        </is>
      </c>
      <c r="F23" s="12" t="n">
        <v>10</v>
      </c>
      <c r="G23" s="12" t="n">
        <v>110</v>
      </c>
      <c r="H23" s="12" t="n">
        <v>8.33</v>
      </c>
    </row>
    <row r="24">
      <c r="A24" s="8" t="inlineStr">
        <is>
          <t>Barça eSports</t>
        </is>
      </c>
      <c r="B24" s="8" t="inlineStr">
        <is>
          <t>2v5</t>
        </is>
      </c>
      <c r="C24" s="8" t="n">
        <v>2</v>
      </c>
      <c r="D24" s="8" t="n">
        <v>5</v>
      </c>
      <c r="E24" s="8" t="inlineStr">
        <is>
          <t>-3</t>
        </is>
      </c>
      <c r="F24" s="8" t="n">
        <v>7</v>
      </c>
      <c r="G24" s="8" t="n">
        <v>80</v>
      </c>
      <c r="H24" s="8" t="n">
        <v>8.050000000000001</v>
      </c>
    </row>
    <row r="25">
      <c r="A25" s="12" t="inlineStr">
        <is>
          <t>Barça eSports</t>
        </is>
      </c>
      <c r="B25" s="12" t="inlineStr">
        <is>
          <t>1v4</t>
        </is>
      </c>
      <c r="C25" s="12" t="n">
        <v>1</v>
      </c>
      <c r="D25" s="12" t="n">
        <v>4</v>
      </c>
      <c r="E25" s="12" t="inlineStr">
        <is>
          <t>-3</t>
        </is>
      </c>
      <c r="F25" s="12" t="n">
        <v>6</v>
      </c>
      <c r="G25" s="12" t="n">
        <v>93</v>
      </c>
      <c r="H25" s="12" t="n">
        <v>6.06</v>
      </c>
    </row>
    <row r="26">
      <c r="A26" s="8" t="inlineStr">
        <is>
          <t>Barça eSports</t>
        </is>
      </c>
      <c r="B26" s="8" t="inlineStr">
        <is>
          <t>1v5</t>
        </is>
      </c>
      <c r="C26" s="8" t="n">
        <v>1</v>
      </c>
      <c r="D26" s="8" t="n">
        <v>5</v>
      </c>
      <c r="E26" s="8" t="inlineStr">
        <is>
          <t>-4</t>
        </is>
      </c>
      <c r="F26" s="8" t="n">
        <v>4</v>
      </c>
      <c r="G26" s="8" t="n">
        <v>47</v>
      </c>
      <c r="H26" s="8" t="n">
        <v>7.84</v>
      </c>
    </row>
    <row r="27">
      <c r="A27" s="12" t="inlineStr">
        <is>
          <t>Eintracht Frankfurt</t>
        </is>
      </c>
      <c r="B27" s="12" t="inlineStr">
        <is>
          <t>5v1</t>
        </is>
      </c>
      <c r="C27" s="12" t="n">
        <v>5</v>
      </c>
      <c r="D27" s="12" t="n">
        <v>1</v>
      </c>
      <c r="E27" s="12" t="inlineStr">
        <is>
          <t>+4</t>
        </is>
      </c>
      <c r="F27" s="12" t="n">
        <v>80</v>
      </c>
      <c r="G27" s="12" t="n">
        <v>0</v>
      </c>
      <c r="H27" s="12" t="n">
        <v>100</v>
      </c>
    </row>
    <row r="28">
      <c r="A28" s="8" t="inlineStr">
        <is>
          <t>Eintracht Frankfurt</t>
        </is>
      </c>
      <c r="B28" s="8" t="inlineStr">
        <is>
          <t>5v2</t>
        </is>
      </c>
      <c r="C28" s="8" t="n">
        <v>5</v>
      </c>
      <c r="D28" s="8" t="n">
        <v>2</v>
      </c>
      <c r="E28" s="8" t="inlineStr">
        <is>
          <t>+3</t>
        </is>
      </c>
      <c r="F28" s="8" t="n">
        <v>134</v>
      </c>
      <c r="G28" s="8" t="n">
        <v>2</v>
      </c>
      <c r="H28" s="8" t="n">
        <v>98.53</v>
      </c>
    </row>
    <row r="29">
      <c r="A29" s="12" t="inlineStr">
        <is>
          <t>Eintracht Frankfurt</t>
        </is>
      </c>
      <c r="B29" s="12" t="inlineStr">
        <is>
          <t>4v1</t>
        </is>
      </c>
      <c r="C29" s="12" t="n">
        <v>4</v>
      </c>
      <c r="D29" s="12" t="n">
        <v>1</v>
      </c>
      <c r="E29" s="12" t="inlineStr">
        <is>
          <t>+3</t>
        </is>
      </c>
      <c r="F29" s="12" t="n">
        <v>188</v>
      </c>
      <c r="G29" s="12" t="n">
        <v>0</v>
      </c>
      <c r="H29" s="12" t="n">
        <v>100</v>
      </c>
    </row>
    <row r="30">
      <c r="A30" s="8" t="inlineStr">
        <is>
          <t>Eintracht Frankfurt</t>
        </is>
      </c>
      <c r="B30" s="8" t="inlineStr">
        <is>
          <t>5v3</t>
        </is>
      </c>
      <c r="C30" s="8" t="n">
        <v>5</v>
      </c>
      <c r="D30" s="8" t="n">
        <v>3</v>
      </c>
      <c r="E30" s="8" t="inlineStr">
        <is>
          <t>+2</t>
        </is>
      </c>
      <c r="F30" s="8" t="n">
        <v>230</v>
      </c>
      <c r="G30" s="8" t="n">
        <v>20</v>
      </c>
      <c r="H30" s="8" t="n">
        <v>92</v>
      </c>
    </row>
    <row r="31">
      <c r="A31" s="12" t="inlineStr">
        <is>
          <t>Eintracht Frankfurt</t>
        </is>
      </c>
      <c r="B31" s="12" t="inlineStr">
        <is>
          <t>4v2</t>
        </is>
      </c>
      <c r="C31" s="12" t="n">
        <v>4</v>
      </c>
      <c r="D31" s="12" t="n">
        <v>2</v>
      </c>
      <c r="E31" s="12" t="inlineStr">
        <is>
          <t>+2</t>
        </is>
      </c>
      <c r="F31" s="12" t="n">
        <v>238</v>
      </c>
      <c r="G31" s="12" t="n">
        <v>14</v>
      </c>
      <c r="H31" s="12" t="n">
        <v>94.44</v>
      </c>
    </row>
    <row r="32">
      <c r="A32" s="8" t="inlineStr">
        <is>
          <t>Eintracht Frankfurt</t>
        </is>
      </c>
      <c r="B32" s="8" t="inlineStr">
        <is>
          <t>3v1</t>
        </is>
      </c>
      <c r="C32" s="8" t="n">
        <v>3</v>
      </c>
      <c r="D32" s="8" t="n">
        <v>1</v>
      </c>
      <c r="E32" s="8" t="inlineStr">
        <is>
          <t>+2</t>
        </is>
      </c>
      <c r="F32" s="8" t="n">
        <v>204</v>
      </c>
      <c r="G32" s="8" t="n">
        <v>6</v>
      </c>
      <c r="H32" s="8" t="n">
        <v>97.14</v>
      </c>
    </row>
    <row r="33">
      <c r="A33" s="12" t="inlineStr">
        <is>
          <t>Eintracht Frankfurt</t>
        </is>
      </c>
      <c r="B33" s="12" t="inlineStr">
        <is>
          <t>5v4</t>
        </is>
      </c>
      <c r="C33" s="12" t="n">
        <v>5</v>
      </c>
      <c r="D33" s="12" t="n">
        <v>4</v>
      </c>
      <c r="E33" s="12" t="inlineStr">
        <is>
          <t>+1</t>
        </is>
      </c>
      <c r="F33" s="12" t="n">
        <v>341</v>
      </c>
      <c r="G33" s="12" t="n">
        <v>109</v>
      </c>
      <c r="H33" s="12" t="n">
        <v>75.78</v>
      </c>
    </row>
    <row r="34">
      <c r="A34" s="8" t="inlineStr">
        <is>
          <t>Eintracht Frankfurt</t>
        </is>
      </c>
      <c r="B34" s="8" t="inlineStr">
        <is>
          <t>4v3</t>
        </is>
      </c>
      <c r="C34" s="8" t="n">
        <v>4</v>
      </c>
      <c r="D34" s="8" t="n">
        <v>3</v>
      </c>
      <c r="E34" s="8" t="inlineStr">
        <is>
          <t>+1</t>
        </is>
      </c>
      <c r="F34" s="8" t="n">
        <v>280</v>
      </c>
      <c r="G34" s="8" t="n">
        <v>81</v>
      </c>
      <c r="H34" s="8" t="n">
        <v>77.56</v>
      </c>
    </row>
    <row r="35">
      <c r="A35" s="12" t="inlineStr">
        <is>
          <t>Eintracht Frankfurt</t>
        </is>
      </c>
      <c r="B35" s="12" t="inlineStr">
        <is>
          <t>3v2</t>
        </is>
      </c>
      <c r="C35" s="12" t="n">
        <v>3</v>
      </c>
      <c r="D35" s="12" t="n">
        <v>2</v>
      </c>
      <c r="E35" s="12" t="inlineStr">
        <is>
          <t>+1</t>
        </is>
      </c>
      <c r="F35" s="12" t="n">
        <v>206</v>
      </c>
      <c r="G35" s="12" t="n">
        <v>51</v>
      </c>
      <c r="H35" s="12" t="n">
        <v>80.16</v>
      </c>
    </row>
    <row r="36">
      <c r="A36" s="8" t="inlineStr">
        <is>
          <t>Eintracht Frankfurt</t>
        </is>
      </c>
      <c r="B36" s="8" t="inlineStr">
        <is>
          <t>2v1</t>
        </is>
      </c>
      <c r="C36" s="8" t="n">
        <v>2</v>
      </c>
      <c r="D36" s="8" t="n">
        <v>1</v>
      </c>
      <c r="E36" s="8" t="inlineStr">
        <is>
          <t>+1</t>
        </is>
      </c>
      <c r="F36" s="8" t="n">
        <v>157</v>
      </c>
      <c r="G36" s="8" t="n">
        <v>31</v>
      </c>
      <c r="H36" s="8" t="n">
        <v>83.51000000000001</v>
      </c>
    </row>
    <row r="37">
      <c r="A37" s="12" t="inlineStr">
        <is>
          <t>Eintracht Frankfurt</t>
        </is>
      </c>
      <c r="B37" s="12" t="inlineStr">
        <is>
          <t>5v5</t>
        </is>
      </c>
      <c r="C37" s="12" t="n">
        <v>5</v>
      </c>
      <c r="D37" s="12" t="n">
        <v>5</v>
      </c>
      <c r="E37" s="12" t="inlineStr">
        <is>
          <t>0</t>
        </is>
      </c>
      <c r="F37" s="12" t="n">
        <v>506</v>
      </c>
      <c r="G37" s="12" t="n">
        <v>395</v>
      </c>
      <c r="H37" s="12" t="n">
        <v>56.16</v>
      </c>
    </row>
    <row r="38">
      <c r="A38" s="8" t="inlineStr">
        <is>
          <t>Eintracht Frankfurt</t>
        </is>
      </c>
      <c r="B38" s="8" t="inlineStr">
        <is>
          <t>4v4</t>
        </is>
      </c>
      <c r="C38" s="8" t="n">
        <v>4</v>
      </c>
      <c r="D38" s="8" t="n">
        <v>4</v>
      </c>
      <c r="E38" s="8" t="inlineStr">
        <is>
          <t>0</t>
        </is>
      </c>
      <c r="F38" s="8" t="n">
        <v>248</v>
      </c>
      <c r="G38" s="8" t="n">
        <v>194</v>
      </c>
      <c r="H38" s="8" t="n">
        <v>56.11</v>
      </c>
    </row>
    <row r="39">
      <c r="A39" s="12" t="inlineStr">
        <is>
          <t>Eintracht Frankfurt</t>
        </is>
      </c>
      <c r="B39" s="12" t="inlineStr">
        <is>
          <t>3v3</t>
        </is>
      </c>
      <c r="C39" s="12" t="n">
        <v>3</v>
      </c>
      <c r="D39" s="12" t="n">
        <v>3</v>
      </c>
      <c r="E39" s="12" t="inlineStr">
        <is>
          <t>0</t>
        </is>
      </c>
      <c r="F39" s="12" t="n">
        <v>173</v>
      </c>
      <c r="G39" s="12" t="n">
        <v>146</v>
      </c>
      <c r="H39" s="12" t="n">
        <v>54.23</v>
      </c>
    </row>
    <row r="40">
      <c r="A40" s="8" t="inlineStr">
        <is>
          <t>Eintracht Frankfurt</t>
        </is>
      </c>
      <c r="B40" s="8" t="inlineStr">
        <is>
          <t>2v2</t>
        </is>
      </c>
      <c r="C40" s="8" t="n">
        <v>2</v>
      </c>
      <c r="D40" s="8" t="n">
        <v>2</v>
      </c>
      <c r="E40" s="8" t="inlineStr">
        <is>
          <t>0</t>
        </is>
      </c>
      <c r="F40" s="8" t="n">
        <v>120</v>
      </c>
      <c r="G40" s="8" t="n">
        <v>107</v>
      </c>
      <c r="H40" s="8" t="n">
        <v>52.86</v>
      </c>
    </row>
    <row r="41">
      <c r="A41" s="12" t="inlineStr">
        <is>
          <t>Eintracht Frankfurt</t>
        </is>
      </c>
      <c r="B41" s="12" t="inlineStr">
        <is>
          <t>1v1</t>
        </is>
      </c>
      <c r="C41" s="12" t="n">
        <v>1</v>
      </c>
      <c r="D41" s="12" t="n">
        <v>1</v>
      </c>
      <c r="E41" s="12" t="inlineStr">
        <is>
          <t>0</t>
        </is>
      </c>
      <c r="F41" s="12" t="n">
        <v>68</v>
      </c>
      <c r="G41" s="12" t="n">
        <v>69</v>
      </c>
      <c r="H41" s="12" t="n">
        <v>49.64</v>
      </c>
    </row>
    <row r="42">
      <c r="A42" s="8" t="inlineStr">
        <is>
          <t>Eintracht Frankfurt</t>
        </is>
      </c>
      <c r="B42" s="8" t="inlineStr">
        <is>
          <t>4v5</t>
        </is>
      </c>
      <c r="C42" s="8" t="n">
        <v>4</v>
      </c>
      <c r="D42" s="8" t="n">
        <v>5</v>
      </c>
      <c r="E42" s="8" t="inlineStr">
        <is>
          <t>-1</t>
        </is>
      </c>
      <c r="F42" s="8" t="n">
        <v>165</v>
      </c>
      <c r="G42" s="8" t="n">
        <v>286</v>
      </c>
      <c r="H42" s="8" t="n">
        <v>36.59</v>
      </c>
    </row>
    <row r="43">
      <c r="A43" s="12" t="inlineStr">
        <is>
          <t>Eintracht Frankfurt</t>
        </is>
      </c>
      <c r="B43" s="12" t="inlineStr">
        <is>
          <t>3v4</t>
        </is>
      </c>
      <c r="C43" s="12" t="n">
        <v>3</v>
      </c>
      <c r="D43" s="12" t="n">
        <v>4</v>
      </c>
      <c r="E43" s="12" t="inlineStr">
        <is>
          <t>-1</t>
        </is>
      </c>
      <c r="F43" s="12" t="n">
        <v>88</v>
      </c>
      <c r="G43" s="12" t="n">
        <v>209</v>
      </c>
      <c r="H43" s="12" t="n">
        <v>29.63</v>
      </c>
    </row>
    <row r="44">
      <c r="A44" s="8" t="inlineStr">
        <is>
          <t>Eintracht Frankfurt</t>
        </is>
      </c>
      <c r="B44" s="8" t="inlineStr">
        <is>
          <t>2v3</t>
        </is>
      </c>
      <c r="C44" s="8" t="n">
        <v>2</v>
      </c>
      <c r="D44" s="8" t="n">
        <v>3</v>
      </c>
      <c r="E44" s="8" t="inlineStr">
        <is>
          <t>-1</t>
        </is>
      </c>
      <c r="F44" s="8" t="n">
        <v>57</v>
      </c>
      <c r="G44" s="8" t="n">
        <v>184</v>
      </c>
      <c r="H44" s="8" t="n">
        <v>23.65</v>
      </c>
    </row>
    <row r="45">
      <c r="A45" s="12" t="inlineStr">
        <is>
          <t>Eintracht Frankfurt</t>
        </is>
      </c>
      <c r="B45" s="12" t="inlineStr">
        <is>
          <t>1v2</t>
        </is>
      </c>
      <c r="C45" s="12" t="n">
        <v>1</v>
      </c>
      <c r="D45" s="12" t="n">
        <v>2</v>
      </c>
      <c r="E45" s="12" t="inlineStr">
        <is>
          <t>-1</t>
        </is>
      </c>
      <c r="F45" s="12" t="n">
        <v>36</v>
      </c>
      <c r="G45" s="12" t="n">
        <v>137</v>
      </c>
      <c r="H45" s="12" t="n">
        <v>20.81</v>
      </c>
    </row>
    <row r="46">
      <c r="A46" s="8" t="inlineStr">
        <is>
          <t>Eintracht Frankfurt</t>
        </is>
      </c>
      <c r="B46" s="8" t="inlineStr">
        <is>
          <t>3v5</t>
        </is>
      </c>
      <c r="C46" s="8" t="n">
        <v>3</v>
      </c>
      <c r="D46" s="8" t="n">
        <v>5</v>
      </c>
      <c r="E46" s="8" t="inlineStr">
        <is>
          <t>-2</t>
        </is>
      </c>
      <c r="F46" s="8" t="n">
        <v>28</v>
      </c>
      <c r="G46" s="8" t="n">
        <v>181</v>
      </c>
      <c r="H46" s="8" t="n">
        <v>13.4</v>
      </c>
    </row>
    <row r="47">
      <c r="A47" s="12" t="inlineStr">
        <is>
          <t>Eintracht Frankfurt</t>
        </is>
      </c>
      <c r="B47" s="12" t="inlineStr">
        <is>
          <t>2v4</t>
        </is>
      </c>
      <c r="C47" s="12" t="n">
        <v>2</v>
      </c>
      <c r="D47" s="12" t="n">
        <v>4</v>
      </c>
      <c r="E47" s="12" t="inlineStr">
        <is>
          <t>-2</t>
        </is>
      </c>
      <c r="F47" s="12" t="n">
        <v>11</v>
      </c>
      <c r="G47" s="12" t="n">
        <v>167</v>
      </c>
      <c r="H47" s="12" t="n">
        <v>6.18</v>
      </c>
    </row>
    <row r="48">
      <c r="A48" s="8" t="inlineStr">
        <is>
          <t>Eintracht Frankfurt</t>
        </is>
      </c>
      <c r="B48" s="8" t="inlineStr">
        <is>
          <t>1v3</t>
        </is>
      </c>
      <c r="C48" s="8" t="n">
        <v>1</v>
      </c>
      <c r="D48" s="8" t="n">
        <v>3</v>
      </c>
      <c r="E48" s="8" t="inlineStr">
        <is>
          <t>-2</t>
        </is>
      </c>
      <c r="F48" s="8" t="n">
        <v>7</v>
      </c>
      <c r="G48" s="8" t="n">
        <v>155</v>
      </c>
      <c r="H48" s="8" t="n">
        <v>4.32</v>
      </c>
    </row>
    <row r="49">
      <c r="A49" s="12" t="inlineStr">
        <is>
          <t>Eintracht Frankfurt</t>
        </is>
      </c>
      <c r="B49" s="12" t="inlineStr">
        <is>
          <t>2v5</t>
        </is>
      </c>
      <c r="C49" s="12" t="n">
        <v>2</v>
      </c>
      <c r="D49" s="12" t="n">
        <v>5</v>
      </c>
      <c r="E49" s="12" t="inlineStr">
        <is>
          <t>-3</t>
        </is>
      </c>
      <c r="F49" s="12" t="n">
        <v>2</v>
      </c>
      <c r="G49" s="12" t="n">
        <v>101</v>
      </c>
      <c r="H49" s="12" t="n">
        <v>1.94</v>
      </c>
    </row>
    <row r="50">
      <c r="A50" s="8" t="inlineStr">
        <is>
          <t>Eintracht Frankfurt</t>
        </is>
      </c>
      <c r="B50" s="8" t="inlineStr">
        <is>
          <t>1v4</t>
        </is>
      </c>
      <c r="C50" s="8" t="n">
        <v>1</v>
      </c>
      <c r="D50" s="8" t="n">
        <v>4</v>
      </c>
      <c r="E50" s="8" t="inlineStr">
        <is>
          <t>-3</t>
        </is>
      </c>
      <c r="F50" s="8" t="n">
        <v>2</v>
      </c>
      <c r="G50" s="8" t="n">
        <v>118</v>
      </c>
      <c r="H50" s="8" t="n">
        <v>1.67</v>
      </c>
    </row>
    <row r="51">
      <c r="A51" s="12" t="inlineStr">
        <is>
          <t>Eintracht Frankfurt</t>
        </is>
      </c>
      <c r="B51" s="12" t="inlineStr">
        <is>
          <t>1v5</t>
        </is>
      </c>
      <c r="C51" s="12" t="n">
        <v>1</v>
      </c>
      <c r="D51" s="12" t="n">
        <v>5</v>
      </c>
      <c r="E51" s="12" t="inlineStr">
        <is>
          <t>-4</t>
        </is>
      </c>
      <c r="F51" s="12" t="n">
        <v>0</v>
      </c>
      <c r="G51" s="12" t="n">
        <v>65</v>
      </c>
      <c r="H51" s="12" t="n">
        <v>0</v>
      </c>
    </row>
    <row r="52">
      <c r="A52" s="8" t="inlineStr">
        <is>
          <t>Enterprise Esports</t>
        </is>
      </c>
      <c r="B52" s="8" t="inlineStr">
        <is>
          <t>5v1</t>
        </is>
      </c>
      <c r="C52" s="8" t="n">
        <v>5</v>
      </c>
      <c r="D52" s="8" t="n">
        <v>1</v>
      </c>
      <c r="E52" s="8" t="inlineStr">
        <is>
          <t>+4</t>
        </is>
      </c>
      <c r="F52" s="8" t="n">
        <v>59</v>
      </c>
      <c r="G52" s="8" t="n">
        <v>0</v>
      </c>
      <c r="H52" s="8" t="n">
        <v>100</v>
      </c>
    </row>
    <row r="53">
      <c r="A53" s="12" t="inlineStr">
        <is>
          <t>Enterprise Esports</t>
        </is>
      </c>
      <c r="B53" s="12" t="inlineStr">
        <is>
          <t>5v2</t>
        </is>
      </c>
      <c r="C53" s="12" t="n">
        <v>5</v>
      </c>
      <c r="D53" s="12" t="n">
        <v>2</v>
      </c>
      <c r="E53" s="12" t="inlineStr">
        <is>
          <t>+3</t>
        </is>
      </c>
      <c r="F53" s="12" t="n">
        <v>90</v>
      </c>
      <c r="G53" s="12" t="n">
        <v>3</v>
      </c>
      <c r="H53" s="12" t="n">
        <v>96.77</v>
      </c>
    </row>
    <row r="54">
      <c r="A54" s="8" t="inlineStr">
        <is>
          <t>Enterprise Esports</t>
        </is>
      </c>
      <c r="B54" s="8" t="inlineStr">
        <is>
          <t>4v1</t>
        </is>
      </c>
      <c r="C54" s="8" t="n">
        <v>4</v>
      </c>
      <c r="D54" s="8" t="n">
        <v>1</v>
      </c>
      <c r="E54" s="8" t="inlineStr">
        <is>
          <t>+3</t>
        </is>
      </c>
      <c r="F54" s="8" t="n">
        <v>110</v>
      </c>
      <c r="G54" s="8" t="n">
        <v>1</v>
      </c>
      <c r="H54" s="8" t="n">
        <v>99.09999999999999</v>
      </c>
    </row>
    <row r="55">
      <c r="A55" s="12" t="inlineStr">
        <is>
          <t>Enterprise Esports</t>
        </is>
      </c>
      <c r="B55" s="12" t="inlineStr">
        <is>
          <t>5v3</t>
        </is>
      </c>
      <c r="C55" s="12" t="n">
        <v>5</v>
      </c>
      <c r="D55" s="12" t="n">
        <v>3</v>
      </c>
      <c r="E55" s="12" t="inlineStr">
        <is>
          <t>+2</t>
        </is>
      </c>
      <c r="F55" s="12" t="n">
        <v>141</v>
      </c>
      <c r="G55" s="12" t="n">
        <v>11</v>
      </c>
      <c r="H55" s="12" t="n">
        <v>92.76000000000001</v>
      </c>
    </row>
    <row r="56">
      <c r="A56" s="8" t="inlineStr">
        <is>
          <t>Enterprise Esports</t>
        </is>
      </c>
      <c r="B56" s="8" t="inlineStr">
        <is>
          <t>4v2</t>
        </is>
      </c>
      <c r="C56" s="8" t="n">
        <v>4</v>
      </c>
      <c r="D56" s="8" t="n">
        <v>2</v>
      </c>
      <c r="E56" s="8" t="inlineStr">
        <is>
          <t>+2</t>
        </is>
      </c>
      <c r="F56" s="8" t="n">
        <v>146</v>
      </c>
      <c r="G56" s="8" t="n">
        <v>9</v>
      </c>
      <c r="H56" s="8" t="n">
        <v>94.19</v>
      </c>
    </row>
    <row r="57">
      <c r="A57" s="12" t="inlineStr">
        <is>
          <t>Enterprise Esports</t>
        </is>
      </c>
      <c r="B57" s="12" t="inlineStr">
        <is>
          <t>3v1</t>
        </is>
      </c>
      <c r="C57" s="12" t="n">
        <v>3</v>
      </c>
      <c r="D57" s="12" t="n">
        <v>1</v>
      </c>
      <c r="E57" s="12" t="inlineStr">
        <is>
          <t>+2</t>
        </is>
      </c>
      <c r="F57" s="12" t="n">
        <v>110</v>
      </c>
      <c r="G57" s="12" t="n">
        <v>3</v>
      </c>
      <c r="H57" s="12" t="n">
        <v>97.34999999999999</v>
      </c>
    </row>
    <row r="58">
      <c r="A58" s="8" t="inlineStr">
        <is>
          <t>Enterprise Esports</t>
        </is>
      </c>
      <c r="B58" s="8" t="inlineStr">
        <is>
          <t>5v4</t>
        </is>
      </c>
      <c r="C58" s="8" t="n">
        <v>5</v>
      </c>
      <c r="D58" s="8" t="n">
        <v>4</v>
      </c>
      <c r="E58" s="8" t="inlineStr">
        <is>
          <t>+1</t>
        </is>
      </c>
      <c r="F58" s="8" t="n">
        <v>230</v>
      </c>
      <c r="G58" s="8" t="n">
        <v>71</v>
      </c>
      <c r="H58" s="8" t="n">
        <v>76.41</v>
      </c>
    </row>
    <row r="59">
      <c r="A59" s="12" t="inlineStr">
        <is>
          <t>Enterprise Esports</t>
        </is>
      </c>
      <c r="B59" s="12" t="inlineStr">
        <is>
          <t>4v3</t>
        </is>
      </c>
      <c r="C59" s="12" t="n">
        <v>4</v>
      </c>
      <c r="D59" s="12" t="n">
        <v>3</v>
      </c>
      <c r="E59" s="12" t="inlineStr">
        <is>
          <t>+1</t>
        </is>
      </c>
      <c r="F59" s="12" t="n">
        <v>171</v>
      </c>
      <c r="G59" s="12" t="n">
        <v>32</v>
      </c>
      <c r="H59" s="12" t="n">
        <v>84.23999999999999</v>
      </c>
    </row>
    <row r="60">
      <c r="A60" s="8" t="inlineStr">
        <is>
          <t>Enterprise Esports</t>
        </is>
      </c>
      <c r="B60" s="8" t="inlineStr">
        <is>
          <t>3v2</t>
        </is>
      </c>
      <c r="C60" s="8" t="n">
        <v>3</v>
      </c>
      <c r="D60" s="8" t="n">
        <v>2</v>
      </c>
      <c r="E60" s="8" t="inlineStr">
        <is>
          <t>+1</t>
        </is>
      </c>
      <c r="F60" s="8" t="n">
        <v>116</v>
      </c>
      <c r="G60" s="8" t="n">
        <v>30</v>
      </c>
      <c r="H60" s="8" t="n">
        <v>79.45</v>
      </c>
    </row>
    <row r="61">
      <c r="A61" s="12" t="inlineStr">
        <is>
          <t>Enterprise Esports</t>
        </is>
      </c>
      <c r="B61" s="12" t="inlineStr">
        <is>
          <t>2v1</t>
        </is>
      </c>
      <c r="C61" s="12" t="n">
        <v>2</v>
      </c>
      <c r="D61" s="12" t="n">
        <v>1</v>
      </c>
      <c r="E61" s="12" t="inlineStr">
        <is>
          <t>+1</t>
        </is>
      </c>
      <c r="F61" s="12" t="n">
        <v>86</v>
      </c>
      <c r="G61" s="12" t="n">
        <v>9</v>
      </c>
      <c r="H61" s="12" t="n">
        <v>90.53</v>
      </c>
    </row>
    <row r="62">
      <c r="A62" s="8" t="inlineStr">
        <is>
          <t>Enterprise Esports</t>
        </is>
      </c>
      <c r="B62" s="8" t="inlineStr">
        <is>
          <t>5v5</t>
        </is>
      </c>
      <c r="C62" s="8" t="n">
        <v>5</v>
      </c>
      <c r="D62" s="8" t="n">
        <v>5</v>
      </c>
      <c r="E62" s="8" t="inlineStr">
        <is>
          <t>0</t>
        </is>
      </c>
      <c r="F62" s="8" t="n">
        <v>317</v>
      </c>
      <c r="G62" s="8" t="n">
        <v>211</v>
      </c>
      <c r="H62" s="8" t="n">
        <v>60.04</v>
      </c>
    </row>
    <row r="63">
      <c r="A63" s="12" t="inlineStr">
        <is>
          <t>Enterprise Esports</t>
        </is>
      </c>
      <c r="B63" s="12" t="inlineStr">
        <is>
          <t>4v4</t>
        </is>
      </c>
      <c r="C63" s="12" t="n">
        <v>4</v>
      </c>
      <c r="D63" s="12" t="n">
        <v>4</v>
      </c>
      <c r="E63" s="12" t="inlineStr">
        <is>
          <t>0</t>
        </is>
      </c>
      <c r="F63" s="12" t="n">
        <v>155</v>
      </c>
      <c r="G63" s="12" t="n">
        <v>120</v>
      </c>
      <c r="H63" s="12" t="n">
        <v>56.36</v>
      </c>
    </row>
    <row r="64">
      <c r="A64" s="8" t="inlineStr">
        <is>
          <t>Enterprise Esports</t>
        </is>
      </c>
      <c r="B64" s="8" t="inlineStr">
        <is>
          <t>3v3</t>
        </is>
      </c>
      <c r="C64" s="8" t="n">
        <v>3</v>
      </c>
      <c r="D64" s="8" t="n">
        <v>3</v>
      </c>
      <c r="E64" s="8" t="inlineStr">
        <is>
          <t>0</t>
        </is>
      </c>
      <c r="F64" s="8" t="n">
        <v>96</v>
      </c>
      <c r="G64" s="8" t="n">
        <v>74</v>
      </c>
      <c r="H64" s="8" t="n">
        <v>56.47</v>
      </c>
    </row>
    <row r="65">
      <c r="A65" s="12" t="inlineStr">
        <is>
          <t>Enterprise Esports</t>
        </is>
      </c>
      <c r="B65" s="12" t="inlineStr">
        <is>
          <t>2v2</t>
        </is>
      </c>
      <c r="C65" s="12" t="n">
        <v>2</v>
      </c>
      <c r="D65" s="12" t="n">
        <v>2</v>
      </c>
      <c r="E65" s="12" t="inlineStr">
        <is>
          <t>0</t>
        </is>
      </c>
      <c r="F65" s="12" t="n">
        <v>63</v>
      </c>
      <c r="G65" s="12" t="n">
        <v>60</v>
      </c>
      <c r="H65" s="12" t="n">
        <v>51.22</v>
      </c>
    </row>
    <row r="66">
      <c r="A66" s="8" t="inlineStr">
        <is>
          <t>Enterprise Esports</t>
        </is>
      </c>
      <c r="B66" s="8" t="inlineStr">
        <is>
          <t>1v1</t>
        </is>
      </c>
      <c r="C66" s="8" t="n">
        <v>1</v>
      </c>
      <c r="D66" s="8" t="n">
        <v>1</v>
      </c>
      <c r="E66" s="8" t="inlineStr">
        <is>
          <t>0</t>
        </is>
      </c>
      <c r="F66" s="8" t="n">
        <v>36</v>
      </c>
      <c r="G66" s="8" t="n">
        <v>35</v>
      </c>
      <c r="H66" s="8" t="n">
        <v>50.7</v>
      </c>
    </row>
    <row r="67">
      <c r="A67" s="12" t="inlineStr">
        <is>
          <t>Enterprise Esports</t>
        </is>
      </c>
      <c r="B67" s="12" t="inlineStr">
        <is>
          <t>4v5</t>
        </is>
      </c>
      <c r="C67" s="12" t="n">
        <v>4</v>
      </c>
      <c r="D67" s="12" t="n">
        <v>5</v>
      </c>
      <c r="E67" s="12" t="inlineStr">
        <is>
          <t>-1</t>
        </is>
      </c>
      <c r="F67" s="12" t="n">
        <v>87</v>
      </c>
      <c r="G67" s="12" t="n">
        <v>140</v>
      </c>
      <c r="H67" s="12" t="n">
        <v>38.33</v>
      </c>
    </row>
    <row r="68">
      <c r="A68" s="8" t="inlineStr">
        <is>
          <t>Enterprise Esports</t>
        </is>
      </c>
      <c r="B68" s="8" t="inlineStr">
        <is>
          <t>3v4</t>
        </is>
      </c>
      <c r="C68" s="8" t="n">
        <v>3</v>
      </c>
      <c r="D68" s="8" t="n">
        <v>4</v>
      </c>
      <c r="E68" s="8" t="inlineStr">
        <is>
          <t>-1</t>
        </is>
      </c>
      <c r="F68" s="8" t="n">
        <v>52</v>
      </c>
      <c r="G68" s="8" t="n">
        <v>134</v>
      </c>
      <c r="H68" s="8" t="n">
        <v>27.96</v>
      </c>
    </row>
    <row r="69">
      <c r="A69" s="12" t="inlineStr">
        <is>
          <t>Enterprise Esports</t>
        </is>
      </c>
      <c r="B69" s="12" t="inlineStr">
        <is>
          <t>2v3</t>
        </is>
      </c>
      <c r="C69" s="12" t="n">
        <v>2</v>
      </c>
      <c r="D69" s="12" t="n">
        <v>3</v>
      </c>
      <c r="E69" s="12" t="inlineStr">
        <is>
          <t>-1</t>
        </is>
      </c>
      <c r="F69" s="12" t="n">
        <v>32</v>
      </c>
      <c r="G69" s="12" t="n">
        <v>89</v>
      </c>
      <c r="H69" s="12" t="n">
        <v>26.45</v>
      </c>
    </row>
    <row r="70">
      <c r="A70" s="8" t="inlineStr">
        <is>
          <t>Enterprise Esports</t>
        </is>
      </c>
      <c r="B70" s="8" t="inlineStr">
        <is>
          <t>1v2</t>
        </is>
      </c>
      <c r="C70" s="8" t="n">
        <v>1</v>
      </c>
      <c r="D70" s="8" t="n">
        <v>2</v>
      </c>
      <c r="E70" s="8" t="inlineStr">
        <is>
          <t>-1</t>
        </is>
      </c>
      <c r="F70" s="8" t="n">
        <v>12</v>
      </c>
      <c r="G70" s="8" t="n">
        <v>80</v>
      </c>
      <c r="H70" s="8" t="n">
        <v>13.04</v>
      </c>
    </row>
    <row r="71">
      <c r="A71" s="12" t="inlineStr">
        <is>
          <t>Enterprise Esports</t>
        </is>
      </c>
      <c r="B71" s="12" t="inlineStr">
        <is>
          <t>3v5</t>
        </is>
      </c>
      <c r="C71" s="12" t="n">
        <v>3</v>
      </c>
      <c r="D71" s="12" t="n">
        <v>5</v>
      </c>
      <c r="E71" s="12" t="inlineStr">
        <is>
          <t>-2</t>
        </is>
      </c>
      <c r="F71" s="12" t="n">
        <v>20</v>
      </c>
      <c r="G71" s="12" t="n">
        <v>80</v>
      </c>
      <c r="H71" s="12" t="n">
        <v>20</v>
      </c>
    </row>
    <row r="72">
      <c r="A72" s="8" t="inlineStr">
        <is>
          <t>Enterprise Esports</t>
        </is>
      </c>
      <c r="B72" s="8" t="inlineStr">
        <is>
          <t>2v4</t>
        </is>
      </c>
      <c r="C72" s="8" t="n">
        <v>2</v>
      </c>
      <c r="D72" s="8" t="n">
        <v>4</v>
      </c>
      <c r="E72" s="8" t="inlineStr">
        <is>
          <t>-2</t>
        </is>
      </c>
      <c r="F72" s="8" t="n">
        <v>12</v>
      </c>
      <c r="G72" s="8" t="n">
        <v>104</v>
      </c>
      <c r="H72" s="8" t="n">
        <v>10.34</v>
      </c>
    </row>
    <row r="73">
      <c r="A73" s="12" t="inlineStr">
        <is>
          <t>Enterprise Esports</t>
        </is>
      </c>
      <c r="B73" s="12" t="inlineStr">
        <is>
          <t>1v3</t>
        </is>
      </c>
      <c r="C73" s="12" t="n">
        <v>1</v>
      </c>
      <c r="D73" s="12" t="n">
        <v>3</v>
      </c>
      <c r="E73" s="12" t="inlineStr">
        <is>
          <t>-2</t>
        </is>
      </c>
      <c r="F73" s="12" t="n">
        <v>2</v>
      </c>
      <c r="G73" s="12" t="n">
        <v>87</v>
      </c>
      <c r="H73" s="12" t="n">
        <v>2.25</v>
      </c>
    </row>
    <row r="74">
      <c r="A74" s="8" t="inlineStr">
        <is>
          <t>Enterprise Esports</t>
        </is>
      </c>
      <c r="B74" s="8" t="inlineStr">
        <is>
          <t>2v5</t>
        </is>
      </c>
      <c r="C74" s="8" t="n">
        <v>2</v>
      </c>
      <c r="D74" s="8" t="n">
        <v>5</v>
      </c>
      <c r="E74" s="8" t="inlineStr">
        <is>
          <t>-3</t>
        </is>
      </c>
      <c r="F74" s="8" t="n">
        <v>3</v>
      </c>
      <c r="G74" s="8" t="n">
        <v>42</v>
      </c>
      <c r="H74" s="8" t="n">
        <v>6.67</v>
      </c>
    </row>
    <row r="75">
      <c r="A75" s="12" t="inlineStr">
        <is>
          <t>Enterprise Esports</t>
        </is>
      </c>
      <c r="B75" s="12" t="inlineStr">
        <is>
          <t>1v4</t>
        </is>
      </c>
      <c r="C75" s="12" t="n">
        <v>1</v>
      </c>
      <c r="D75" s="12" t="n">
        <v>4</v>
      </c>
      <c r="E75" s="12" t="inlineStr">
        <is>
          <t>-3</t>
        </is>
      </c>
      <c r="F75" s="12" t="n">
        <v>1</v>
      </c>
      <c r="G75" s="12" t="n">
        <v>71</v>
      </c>
      <c r="H75" s="12" t="n">
        <v>1.39</v>
      </c>
    </row>
    <row r="76">
      <c r="A76" s="8" t="inlineStr">
        <is>
          <t>Enterprise Esports</t>
        </is>
      </c>
      <c r="B76" s="8" t="inlineStr">
        <is>
          <t>1v5</t>
        </is>
      </c>
      <c r="C76" s="8" t="n">
        <v>1</v>
      </c>
      <c r="D76" s="8" t="n">
        <v>5</v>
      </c>
      <c r="E76" s="8" t="inlineStr">
        <is>
          <t>-4</t>
        </is>
      </c>
      <c r="F76" s="8" t="n">
        <v>0</v>
      </c>
      <c r="G76" s="8" t="n">
        <v>22</v>
      </c>
      <c r="H76" s="8" t="n">
        <v>0</v>
      </c>
    </row>
    <row r="77">
      <c r="A77" s="12" t="inlineStr">
        <is>
          <t>FOKUS</t>
        </is>
      </c>
      <c r="B77" s="12" t="inlineStr">
        <is>
          <t>5v1</t>
        </is>
      </c>
      <c r="C77" s="12" t="n">
        <v>5</v>
      </c>
      <c r="D77" s="12" t="n">
        <v>1</v>
      </c>
      <c r="E77" s="12" t="inlineStr">
        <is>
          <t>+4</t>
        </is>
      </c>
      <c r="F77" s="12" t="n">
        <v>98</v>
      </c>
      <c r="G77" s="12" t="n">
        <v>0</v>
      </c>
      <c r="H77" s="12" t="n">
        <v>100</v>
      </c>
    </row>
    <row r="78">
      <c r="A78" s="8" t="inlineStr">
        <is>
          <t>FOKUS</t>
        </is>
      </c>
      <c r="B78" s="8" t="inlineStr">
        <is>
          <t>5v2</t>
        </is>
      </c>
      <c r="C78" s="8" t="n">
        <v>5</v>
      </c>
      <c r="D78" s="8" t="n">
        <v>2</v>
      </c>
      <c r="E78" s="8" t="inlineStr">
        <is>
          <t>+3</t>
        </is>
      </c>
      <c r="F78" s="8" t="n">
        <v>167</v>
      </c>
      <c r="G78" s="8" t="n">
        <v>3</v>
      </c>
      <c r="H78" s="8" t="n">
        <v>98.23999999999999</v>
      </c>
    </row>
    <row r="79">
      <c r="A79" s="12" t="inlineStr">
        <is>
          <t>FOKUS</t>
        </is>
      </c>
      <c r="B79" s="12" t="inlineStr">
        <is>
          <t>4v1</t>
        </is>
      </c>
      <c r="C79" s="12" t="n">
        <v>4</v>
      </c>
      <c r="D79" s="12" t="n">
        <v>1</v>
      </c>
      <c r="E79" s="12" t="inlineStr">
        <is>
          <t>+3</t>
        </is>
      </c>
      <c r="F79" s="12" t="n">
        <v>201</v>
      </c>
      <c r="G79" s="12" t="n">
        <v>1</v>
      </c>
      <c r="H79" s="12" t="n">
        <v>99.5</v>
      </c>
    </row>
    <row r="80">
      <c r="A80" s="8" t="inlineStr">
        <is>
          <t>FOKUS</t>
        </is>
      </c>
      <c r="B80" s="8" t="inlineStr">
        <is>
          <t>5v3</t>
        </is>
      </c>
      <c r="C80" s="8" t="n">
        <v>5</v>
      </c>
      <c r="D80" s="8" t="n">
        <v>3</v>
      </c>
      <c r="E80" s="8" t="inlineStr">
        <is>
          <t>+2</t>
        </is>
      </c>
      <c r="F80" s="8" t="n">
        <v>263</v>
      </c>
      <c r="G80" s="8" t="n">
        <v>17</v>
      </c>
      <c r="H80" s="8" t="n">
        <v>93.93000000000001</v>
      </c>
    </row>
    <row r="81">
      <c r="A81" s="12" t="inlineStr">
        <is>
          <t>FOKUS</t>
        </is>
      </c>
      <c r="B81" s="12" t="inlineStr">
        <is>
          <t>4v2</t>
        </is>
      </c>
      <c r="C81" s="12" t="n">
        <v>4</v>
      </c>
      <c r="D81" s="12" t="n">
        <v>2</v>
      </c>
      <c r="E81" s="12" t="inlineStr">
        <is>
          <t>+2</t>
        </is>
      </c>
      <c r="F81" s="12" t="n">
        <v>262</v>
      </c>
      <c r="G81" s="12" t="n">
        <v>18</v>
      </c>
      <c r="H81" s="12" t="n">
        <v>93.56999999999999</v>
      </c>
    </row>
    <row r="82">
      <c r="A82" s="8" t="inlineStr">
        <is>
          <t>FOKUS</t>
        </is>
      </c>
      <c r="B82" s="8" t="inlineStr">
        <is>
          <t>3v1</t>
        </is>
      </c>
      <c r="C82" s="8" t="n">
        <v>3</v>
      </c>
      <c r="D82" s="8" t="n">
        <v>1</v>
      </c>
      <c r="E82" s="8" t="inlineStr">
        <is>
          <t>+2</t>
        </is>
      </c>
      <c r="F82" s="8" t="n">
        <v>234</v>
      </c>
      <c r="G82" s="8" t="n">
        <v>7</v>
      </c>
      <c r="H82" s="8" t="n">
        <v>97.09999999999999</v>
      </c>
    </row>
    <row r="83">
      <c r="A83" s="12" t="inlineStr">
        <is>
          <t>FOKUS</t>
        </is>
      </c>
      <c r="B83" s="12" t="inlineStr">
        <is>
          <t>5v4</t>
        </is>
      </c>
      <c r="C83" s="12" t="n">
        <v>5</v>
      </c>
      <c r="D83" s="12" t="n">
        <v>4</v>
      </c>
      <c r="E83" s="12" t="inlineStr">
        <is>
          <t>+1</t>
        </is>
      </c>
      <c r="F83" s="12" t="n">
        <v>419</v>
      </c>
      <c r="G83" s="12" t="n">
        <v>125</v>
      </c>
      <c r="H83" s="12" t="n">
        <v>77.02</v>
      </c>
    </row>
    <row r="84">
      <c r="A84" s="8" t="inlineStr">
        <is>
          <t>FOKUS</t>
        </is>
      </c>
      <c r="B84" s="8" t="inlineStr">
        <is>
          <t>4v3</t>
        </is>
      </c>
      <c r="C84" s="8" t="n">
        <v>4</v>
      </c>
      <c r="D84" s="8" t="n">
        <v>3</v>
      </c>
      <c r="E84" s="8" t="inlineStr">
        <is>
          <t>+1</t>
        </is>
      </c>
      <c r="F84" s="8" t="n">
        <v>304</v>
      </c>
      <c r="G84" s="8" t="n">
        <v>73</v>
      </c>
      <c r="H84" s="8" t="n">
        <v>80.64</v>
      </c>
    </row>
    <row r="85">
      <c r="A85" s="12" t="inlineStr">
        <is>
          <t>FOKUS</t>
        </is>
      </c>
      <c r="B85" s="12" t="inlineStr">
        <is>
          <t>3v2</t>
        </is>
      </c>
      <c r="C85" s="12" t="n">
        <v>3</v>
      </c>
      <c r="D85" s="12" t="n">
        <v>2</v>
      </c>
      <c r="E85" s="12" t="inlineStr">
        <is>
          <t>+1</t>
        </is>
      </c>
      <c r="F85" s="12" t="n">
        <v>239</v>
      </c>
      <c r="G85" s="12" t="n">
        <v>59</v>
      </c>
      <c r="H85" s="12" t="n">
        <v>80.2</v>
      </c>
    </row>
    <row r="86">
      <c r="A86" s="8" t="inlineStr">
        <is>
          <t>FOKUS</t>
        </is>
      </c>
      <c r="B86" s="8" t="inlineStr">
        <is>
          <t>2v1</t>
        </is>
      </c>
      <c r="C86" s="8" t="n">
        <v>2</v>
      </c>
      <c r="D86" s="8" t="n">
        <v>1</v>
      </c>
      <c r="E86" s="8" t="inlineStr">
        <is>
          <t>+1</t>
        </is>
      </c>
      <c r="F86" s="8" t="n">
        <v>182</v>
      </c>
      <c r="G86" s="8" t="n">
        <v>24</v>
      </c>
      <c r="H86" s="8" t="n">
        <v>88.34999999999999</v>
      </c>
    </row>
    <row r="87">
      <c r="A87" s="12" t="inlineStr">
        <is>
          <t>FOKUS</t>
        </is>
      </c>
      <c r="B87" s="12" t="inlineStr">
        <is>
          <t>5v5</t>
        </is>
      </c>
      <c r="C87" s="12" t="n">
        <v>5</v>
      </c>
      <c r="D87" s="12" t="n">
        <v>5</v>
      </c>
      <c r="E87" s="12" t="inlineStr">
        <is>
          <t>0</t>
        </is>
      </c>
      <c r="F87" s="12" t="n">
        <v>572</v>
      </c>
      <c r="G87" s="12" t="n">
        <v>426</v>
      </c>
      <c r="H87" s="12" t="n">
        <v>57.31</v>
      </c>
    </row>
    <row r="88">
      <c r="A88" s="8" t="inlineStr">
        <is>
          <t>FOKUS</t>
        </is>
      </c>
      <c r="B88" s="8" t="inlineStr">
        <is>
          <t>4v4</t>
        </is>
      </c>
      <c r="C88" s="8" t="n">
        <v>4</v>
      </c>
      <c r="D88" s="8" t="n">
        <v>4</v>
      </c>
      <c r="E88" s="8" t="inlineStr">
        <is>
          <t>0</t>
        </is>
      </c>
      <c r="F88" s="8" t="n">
        <v>279</v>
      </c>
      <c r="G88" s="8" t="n">
        <v>216</v>
      </c>
      <c r="H88" s="8" t="n">
        <v>56.36</v>
      </c>
    </row>
    <row r="89">
      <c r="A89" s="12" t="inlineStr">
        <is>
          <t>FOKUS</t>
        </is>
      </c>
      <c r="B89" s="12" t="inlineStr">
        <is>
          <t>3v3</t>
        </is>
      </c>
      <c r="C89" s="12" t="n">
        <v>3</v>
      </c>
      <c r="D89" s="12" t="n">
        <v>3</v>
      </c>
      <c r="E89" s="12" t="inlineStr">
        <is>
          <t>0</t>
        </is>
      </c>
      <c r="F89" s="12" t="n">
        <v>187</v>
      </c>
      <c r="G89" s="12" t="n">
        <v>132</v>
      </c>
      <c r="H89" s="12" t="n">
        <v>58.62</v>
      </c>
    </row>
    <row r="90">
      <c r="A90" s="8" t="inlineStr">
        <is>
          <t>FOKUS</t>
        </is>
      </c>
      <c r="B90" s="8" t="inlineStr">
        <is>
          <t>2v2</t>
        </is>
      </c>
      <c r="C90" s="8" t="n">
        <v>2</v>
      </c>
      <c r="D90" s="8" t="n">
        <v>2</v>
      </c>
      <c r="E90" s="8" t="inlineStr">
        <is>
          <t>0</t>
        </is>
      </c>
      <c r="F90" s="8" t="n">
        <v>123</v>
      </c>
      <c r="G90" s="8" t="n">
        <v>108</v>
      </c>
      <c r="H90" s="8" t="n">
        <v>53.25</v>
      </c>
    </row>
    <row r="91">
      <c r="A91" s="12" t="inlineStr">
        <is>
          <t>FOKUS</t>
        </is>
      </c>
      <c r="B91" s="12" t="inlineStr">
        <is>
          <t>1v1</t>
        </is>
      </c>
      <c r="C91" s="12" t="n">
        <v>1</v>
      </c>
      <c r="D91" s="12" t="n">
        <v>1</v>
      </c>
      <c r="E91" s="12" t="inlineStr">
        <is>
          <t>0</t>
        </is>
      </c>
      <c r="F91" s="12" t="n">
        <v>73</v>
      </c>
      <c r="G91" s="12" t="n">
        <v>73</v>
      </c>
      <c r="H91" s="12" t="n">
        <v>50</v>
      </c>
    </row>
    <row r="92">
      <c r="A92" s="8" t="inlineStr">
        <is>
          <t>FOKUS</t>
        </is>
      </c>
      <c r="B92" s="8" t="inlineStr">
        <is>
          <t>4v5</t>
        </is>
      </c>
      <c r="C92" s="8" t="n">
        <v>4</v>
      </c>
      <c r="D92" s="8" t="n">
        <v>5</v>
      </c>
      <c r="E92" s="8" t="inlineStr">
        <is>
          <t>-1</t>
        </is>
      </c>
      <c r="F92" s="8" t="n">
        <v>153</v>
      </c>
      <c r="G92" s="8" t="n">
        <v>301</v>
      </c>
      <c r="H92" s="8" t="n">
        <v>33.7</v>
      </c>
    </row>
    <row r="93">
      <c r="A93" s="12" t="inlineStr">
        <is>
          <t>FOKUS</t>
        </is>
      </c>
      <c r="B93" s="12" t="inlineStr">
        <is>
          <t>3v4</t>
        </is>
      </c>
      <c r="C93" s="12" t="n">
        <v>3</v>
      </c>
      <c r="D93" s="12" t="n">
        <v>4</v>
      </c>
      <c r="E93" s="12" t="inlineStr">
        <is>
          <t>-1</t>
        </is>
      </c>
      <c r="F93" s="12" t="n">
        <v>95</v>
      </c>
      <c r="G93" s="12" t="n">
        <v>238</v>
      </c>
      <c r="H93" s="12" t="n">
        <v>28.53</v>
      </c>
    </row>
    <row r="94">
      <c r="A94" s="8" t="inlineStr">
        <is>
          <t>FOKUS</t>
        </is>
      </c>
      <c r="B94" s="8" t="inlineStr">
        <is>
          <t>2v3</t>
        </is>
      </c>
      <c r="C94" s="8" t="n">
        <v>2</v>
      </c>
      <c r="D94" s="8" t="n">
        <v>3</v>
      </c>
      <c r="E94" s="8" t="inlineStr">
        <is>
          <t>-1</t>
        </is>
      </c>
      <c r="F94" s="8" t="n">
        <v>59</v>
      </c>
      <c r="G94" s="8" t="n">
        <v>172</v>
      </c>
      <c r="H94" s="8" t="n">
        <v>25.54</v>
      </c>
    </row>
    <row r="95">
      <c r="A95" s="12" t="inlineStr">
        <is>
          <t>FOKUS</t>
        </is>
      </c>
      <c r="B95" s="12" t="inlineStr">
        <is>
          <t>1v2</t>
        </is>
      </c>
      <c r="C95" s="12" t="n">
        <v>1</v>
      </c>
      <c r="D95" s="12" t="n">
        <v>2</v>
      </c>
      <c r="E95" s="12" t="inlineStr">
        <is>
          <t>-1</t>
        </is>
      </c>
      <c r="F95" s="12" t="n">
        <v>29</v>
      </c>
      <c r="G95" s="12" t="n">
        <v>152</v>
      </c>
      <c r="H95" s="12" t="n">
        <v>16.02</v>
      </c>
    </row>
    <row r="96">
      <c r="A96" s="8" t="inlineStr">
        <is>
          <t>FOKUS</t>
        </is>
      </c>
      <c r="B96" s="8" t="inlineStr">
        <is>
          <t>3v5</t>
        </is>
      </c>
      <c r="C96" s="8" t="n">
        <v>3</v>
      </c>
      <c r="D96" s="8" t="n">
        <v>5</v>
      </c>
      <c r="E96" s="8" t="inlineStr">
        <is>
          <t>-2</t>
        </is>
      </c>
      <c r="F96" s="8" t="n">
        <v>30</v>
      </c>
      <c r="G96" s="8" t="n">
        <v>193</v>
      </c>
      <c r="H96" s="8" t="n">
        <v>13.45</v>
      </c>
    </row>
    <row r="97">
      <c r="A97" s="12" t="inlineStr">
        <is>
          <t>FOKUS</t>
        </is>
      </c>
      <c r="B97" s="12" t="inlineStr">
        <is>
          <t>2v4</t>
        </is>
      </c>
      <c r="C97" s="12" t="n">
        <v>2</v>
      </c>
      <c r="D97" s="12" t="n">
        <v>4</v>
      </c>
      <c r="E97" s="12" t="inlineStr">
        <is>
          <t>-2</t>
        </is>
      </c>
      <c r="F97" s="12" t="n">
        <v>17</v>
      </c>
      <c r="G97" s="12" t="n">
        <v>209</v>
      </c>
      <c r="H97" s="12" t="n">
        <v>7.52</v>
      </c>
    </row>
    <row r="98">
      <c r="A98" s="8" t="inlineStr">
        <is>
          <t>FOKUS</t>
        </is>
      </c>
      <c r="B98" s="8" t="inlineStr">
        <is>
          <t>1v3</t>
        </is>
      </c>
      <c r="C98" s="8" t="n">
        <v>1</v>
      </c>
      <c r="D98" s="8" t="n">
        <v>3</v>
      </c>
      <c r="E98" s="8" t="inlineStr">
        <is>
          <t>-2</t>
        </is>
      </c>
      <c r="F98" s="8" t="n">
        <v>11</v>
      </c>
      <c r="G98" s="8" t="n">
        <v>173</v>
      </c>
      <c r="H98" s="8" t="n">
        <v>5.98</v>
      </c>
    </row>
    <row r="99">
      <c r="A99" s="12" t="inlineStr">
        <is>
          <t>FOKUS</t>
        </is>
      </c>
      <c r="B99" s="12" t="inlineStr">
        <is>
          <t>2v5</t>
        </is>
      </c>
      <c r="C99" s="12" t="n">
        <v>2</v>
      </c>
      <c r="D99" s="12" t="n">
        <v>5</v>
      </c>
      <c r="E99" s="12" t="inlineStr">
        <is>
          <t>-3</t>
        </is>
      </c>
      <c r="F99" s="12" t="n">
        <v>3</v>
      </c>
      <c r="G99" s="12" t="n">
        <v>111</v>
      </c>
      <c r="H99" s="12" t="n">
        <v>2.63</v>
      </c>
    </row>
    <row r="100">
      <c r="A100" s="8" t="inlineStr">
        <is>
          <t>FOKUS</t>
        </is>
      </c>
      <c r="B100" s="8" t="inlineStr">
        <is>
          <t>1v4</t>
        </is>
      </c>
      <c r="C100" s="8" t="n">
        <v>1</v>
      </c>
      <c r="D100" s="8" t="n">
        <v>4</v>
      </c>
      <c r="E100" s="8" t="inlineStr">
        <is>
          <t>-3</t>
        </is>
      </c>
      <c r="F100" s="8" t="n">
        <v>3</v>
      </c>
      <c r="G100" s="8" t="n">
        <v>146</v>
      </c>
      <c r="H100" s="8" t="n">
        <v>2.01</v>
      </c>
    </row>
    <row r="101">
      <c r="A101" s="12" t="inlineStr">
        <is>
          <t>FOKUS</t>
        </is>
      </c>
      <c r="B101" s="12" t="inlineStr">
        <is>
          <t>1v5</t>
        </is>
      </c>
      <c r="C101" s="12" t="n">
        <v>1</v>
      </c>
      <c r="D101" s="12" t="n">
        <v>5</v>
      </c>
      <c r="E101" s="12" t="inlineStr">
        <is>
          <t>-4</t>
        </is>
      </c>
      <c r="F101" s="12" t="n">
        <v>0</v>
      </c>
      <c r="G101" s="12" t="n">
        <v>60</v>
      </c>
      <c r="H101" s="12" t="n">
        <v>0</v>
      </c>
    </row>
    <row r="102">
      <c r="A102" s="8" t="inlineStr">
        <is>
          <t>GnG Amazigh</t>
        </is>
      </c>
      <c r="B102" s="8" t="inlineStr">
        <is>
          <t>5v1</t>
        </is>
      </c>
      <c r="C102" s="8" t="n">
        <v>5</v>
      </c>
      <c r="D102" s="8" t="n">
        <v>1</v>
      </c>
      <c r="E102" s="8" t="inlineStr">
        <is>
          <t>+4</t>
        </is>
      </c>
      <c r="F102" s="8" t="n">
        <v>42</v>
      </c>
      <c r="G102" s="8" t="n">
        <v>0</v>
      </c>
      <c r="H102" s="8" t="n">
        <v>100</v>
      </c>
    </row>
    <row r="103">
      <c r="A103" s="12" t="inlineStr">
        <is>
          <t>GnG Amazigh</t>
        </is>
      </c>
      <c r="B103" s="12" t="inlineStr">
        <is>
          <t>5v2</t>
        </is>
      </c>
      <c r="C103" s="12" t="n">
        <v>5</v>
      </c>
      <c r="D103" s="12" t="n">
        <v>2</v>
      </c>
      <c r="E103" s="12" t="inlineStr">
        <is>
          <t>+3</t>
        </is>
      </c>
      <c r="F103" s="12" t="n">
        <v>79</v>
      </c>
      <c r="G103" s="12" t="n">
        <v>5</v>
      </c>
      <c r="H103" s="12" t="n">
        <v>94.05</v>
      </c>
    </row>
    <row r="104">
      <c r="A104" s="8" t="inlineStr">
        <is>
          <t>GnG Amazigh</t>
        </is>
      </c>
      <c r="B104" s="8" t="inlineStr">
        <is>
          <t>4v1</t>
        </is>
      </c>
      <c r="C104" s="8" t="n">
        <v>4</v>
      </c>
      <c r="D104" s="8" t="n">
        <v>1</v>
      </c>
      <c r="E104" s="8" t="inlineStr">
        <is>
          <t>+3</t>
        </is>
      </c>
      <c r="F104" s="8" t="n">
        <v>106</v>
      </c>
      <c r="G104" s="8" t="n">
        <v>1</v>
      </c>
      <c r="H104" s="8" t="n">
        <v>99.06999999999999</v>
      </c>
    </row>
    <row r="105">
      <c r="A105" s="12" t="inlineStr">
        <is>
          <t>GnG Amazigh</t>
        </is>
      </c>
      <c r="B105" s="12" t="inlineStr">
        <is>
          <t>5v3</t>
        </is>
      </c>
      <c r="C105" s="12" t="n">
        <v>5</v>
      </c>
      <c r="D105" s="12" t="n">
        <v>3</v>
      </c>
      <c r="E105" s="12" t="inlineStr">
        <is>
          <t>+2</t>
        </is>
      </c>
      <c r="F105" s="12" t="n">
        <v>151</v>
      </c>
      <c r="G105" s="12" t="n">
        <v>21</v>
      </c>
      <c r="H105" s="12" t="n">
        <v>87.79000000000001</v>
      </c>
    </row>
    <row r="106">
      <c r="A106" s="8" t="inlineStr">
        <is>
          <t>GnG Amazigh</t>
        </is>
      </c>
      <c r="B106" s="8" t="inlineStr">
        <is>
          <t>4v2</t>
        </is>
      </c>
      <c r="C106" s="8" t="n">
        <v>4</v>
      </c>
      <c r="D106" s="8" t="n">
        <v>2</v>
      </c>
      <c r="E106" s="8" t="inlineStr">
        <is>
          <t>+2</t>
        </is>
      </c>
      <c r="F106" s="8" t="n">
        <v>148</v>
      </c>
      <c r="G106" s="8" t="n">
        <v>14</v>
      </c>
      <c r="H106" s="8" t="n">
        <v>91.36</v>
      </c>
    </row>
    <row r="107">
      <c r="A107" s="12" t="inlineStr">
        <is>
          <t>GnG Amazigh</t>
        </is>
      </c>
      <c r="B107" s="12" t="inlineStr">
        <is>
          <t>3v1</t>
        </is>
      </c>
      <c r="C107" s="12" t="n">
        <v>3</v>
      </c>
      <c r="D107" s="12" t="n">
        <v>1</v>
      </c>
      <c r="E107" s="12" t="inlineStr">
        <is>
          <t>+2</t>
        </is>
      </c>
      <c r="F107" s="12" t="n">
        <v>144</v>
      </c>
      <c r="G107" s="12" t="n">
        <v>5</v>
      </c>
      <c r="H107" s="12" t="n">
        <v>96.64</v>
      </c>
    </row>
    <row r="108">
      <c r="A108" s="8" t="inlineStr">
        <is>
          <t>GnG Amazigh</t>
        </is>
      </c>
      <c r="B108" s="8" t="inlineStr">
        <is>
          <t>5v4</t>
        </is>
      </c>
      <c r="C108" s="8" t="n">
        <v>5</v>
      </c>
      <c r="D108" s="8" t="n">
        <v>4</v>
      </c>
      <c r="E108" s="8" t="inlineStr">
        <is>
          <t>+1</t>
        </is>
      </c>
      <c r="F108" s="8" t="n">
        <v>252</v>
      </c>
      <c r="G108" s="8" t="n">
        <v>95</v>
      </c>
      <c r="H108" s="8" t="n">
        <v>72.62</v>
      </c>
    </row>
    <row r="109">
      <c r="A109" s="12" t="inlineStr">
        <is>
          <t>GnG Amazigh</t>
        </is>
      </c>
      <c r="B109" s="12" t="inlineStr">
        <is>
          <t>4v3</t>
        </is>
      </c>
      <c r="C109" s="12" t="n">
        <v>4</v>
      </c>
      <c r="D109" s="12" t="n">
        <v>3</v>
      </c>
      <c r="E109" s="12" t="inlineStr">
        <is>
          <t>+1</t>
        </is>
      </c>
      <c r="F109" s="12" t="n">
        <v>185</v>
      </c>
      <c r="G109" s="12" t="n">
        <v>57</v>
      </c>
      <c r="H109" s="12" t="n">
        <v>76.45</v>
      </c>
    </row>
    <row r="110">
      <c r="A110" s="8" t="inlineStr">
        <is>
          <t>GnG Amazigh</t>
        </is>
      </c>
      <c r="B110" s="8" t="inlineStr">
        <is>
          <t>3v2</t>
        </is>
      </c>
      <c r="C110" s="8" t="n">
        <v>3</v>
      </c>
      <c r="D110" s="8" t="n">
        <v>2</v>
      </c>
      <c r="E110" s="8" t="inlineStr">
        <is>
          <t>+1</t>
        </is>
      </c>
      <c r="F110" s="8" t="n">
        <v>149</v>
      </c>
      <c r="G110" s="8" t="n">
        <v>39</v>
      </c>
      <c r="H110" s="8" t="n">
        <v>79.26000000000001</v>
      </c>
    </row>
    <row r="111">
      <c r="A111" s="12" t="inlineStr">
        <is>
          <t>GnG Amazigh</t>
        </is>
      </c>
      <c r="B111" s="12" t="inlineStr">
        <is>
          <t>2v1</t>
        </is>
      </c>
      <c r="C111" s="12" t="n">
        <v>2</v>
      </c>
      <c r="D111" s="12" t="n">
        <v>1</v>
      </c>
      <c r="E111" s="12" t="inlineStr">
        <is>
          <t>+1</t>
        </is>
      </c>
      <c r="F111" s="12" t="n">
        <v>112</v>
      </c>
      <c r="G111" s="12" t="n">
        <v>22</v>
      </c>
      <c r="H111" s="12" t="n">
        <v>83.58</v>
      </c>
    </row>
    <row r="112">
      <c r="A112" s="8" t="inlineStr">
        <is>
          <t>GnG Amazigh</t>
        </is>
      </c>
      <c r="B112" s="8" t="inlineStr">
        <is>
          <t>5v5</t>
        </is>
      </c>
      <c r="C112" s="8" t="n">
        <v>5</v>
      </c>
      <c r="D112" s="8" t="n">
        <v>5</v>
      </c>
      <c r="E112" s="8" t="inlineStr">
        <is>
          <t>0</t>
        </is>
      </c>
      <c r="F112" s="8" t="n">
        <v>343</v>
      </c>
      <c r="G112" s="8" t="n">
        <v>347</v>
      </c>
      <c r="H112" s="8" t="n">
        <v>49.71</v>
      </c>
    </row>
    <row r="113">
      <c r="A113" s="12" t="inlineStr">
        <is>
          <t>GnG Amazigh</t>
        </is>
      </c>
      <c r="B113" s="12" t="inlineStr">
        <is>
          <t>4v4</t>
        </is>
      </c>
      <c r="C113" s="12" t="n">
        <v>4</v>
      </c>
      <c r="D113" s="12" t="n">
        <v>4</v>
      </c>
      <c r="E113" s="12" t="inlineStr">
        <is>
          <t>0</t>
        </is>
      </c>
      <c r="F113" s="12" t="n">
        <v>159</v>
      </c>
      <c r="G113" s="12" t="n">
        <v>165</v>
      </c>
      <c r="H113" s="12" t="n">
        <v>49.07</v>
      </c>
    </row>
    <row r="114">
      <c r="A114" s="8" t="inlineStr">
        <is>
          <t>GnG Amazigh</t>
        </is>
      </c>
      <c r="B114" s="8" t="inlineStr">
        <is>
          <t>3v3</t>
        </is>
      </c>
      <c r="C114" s="8" t="n">
        <v>3</v>
      </c>
      <c r="D114" s="8" t="n">
        <v>3</v>
      </c>
      <c r="E114" s="8" t="inlineStr">
        <is>
          <t>0</t>
        </is>
      </c>
      <c r="F114" s="8" t="n">
        <v>119</v>
      </c>
      <c r="G114" s="8" t="n">
        <v>114</v>
      </c>
      <c r="H114" s="8" t="n">
        <v>51.07</v>
      </c>
    </row>
    <row r="115">
      <c r="A115" s="12" t="inlineStr">
        <is>
          <t>GnG Amazigh</t>
        </is>
      </c>
      <c r="B115" s="12" t="inlineStr">
        <is>
          <t>2v2</t>
        </is>
      </c>
      <c r="C115" s="12" t="n">
        <v>2</v>
      </c>
      <c r="D115" s="12" t="n">
        <v>2</v>
      </c>
      <c r="E115" s="12" t="inlineStr">
        <is>
          <t>0</t>
        </is>
      </c>
      <c r="F115" s="12" t="n">
        <v>82</v>
      </c>
      <c r="G115" s="12" t="n">
        <v>93</v>
      </c>
      <c r="H115" s="12" t="n">
        <v>46.86</v>
      </c>
    </row>
    <row r="116">
      <c r="A116" s="8" t="inlineStr">
        <is>
          <t>GnG Amazigh</t>
        </is>
      </c>
      <c r="B116" s="8" t="inlineStr">
        <is>
          <t>1v1</t>
        </is>
      </c>
      <c r="C116" s="8" t="n">
        <v>1</v>
      </c>
      <c r="D116" s="8" t="n">
        <v>1</v>
      </c>
      <c r="E116" s="8" t="inlineStr">
        <is>
          <t>0</t>
        </is>
      </c>
      <c r="F116" s="8" t="n">
        <v>60</v>
      </c>
      <c r="G116" s="8" t="n">
        <v>64</v>
      </c>
      <c r="H116" s="8" t="n">
        <v>48.39</v>
      </c>
    </row>
    <row r="117">
      <c r="A117" s="12" t="inlineStr">
        <is>
          <t>GnG Amazigh</t>
        </is>
      </c>
      <c r="B117" s="12" t="inlineStr">
        <is>
          <t>4v5</t>
        </is>
      </c>
      <c r="C117" s="12" t="n">
        <v>4</v>
      </c>
      <c r="D117" s="12" t="n">
        <v>5</v>
      </c>
      <c r="E117" s="12" t="inlineStr">
        <is>
          <t>-1</t>
        </is>
      </c>
      <c r="F117" s="12" t="n">
        <v>85</v>
      </c>
      <c r="G117" s="12" t="n">
        <v>242</v>
      </c>
      <c r="H117" s="12" t="n">
        <v>25.99</v>
      </c>
    </row>
    <row r="118">
      <c r="A118" s="8" t="inlineStr">
        <is>
          <t>GnG Amazigh</t>
        </is>
      </c>
      <c r="B118" s="8" t="inlineStr">
        <is>
          <t>3v4</t>
        </is>
      </c>
      <c r="C118" s="8" t="n">
        <v>3</v>
      </c>
      <c r="D118" s="8" t="n">
        <v>4</v>
      </c>
      <c r="E118" s="8" t="inlineStr">
        <is>
          <t>-1</t>
        </is>
      </c>
      <c r="F118" s="8" t="n">
        <v>67</v>
      </c>
      <c r="G118" s="8" t="n">
        <v>179</v>
      </c>
      <c r="H118" s="8" t="n">
        <v>27.24</v>
      </c>
    </row>
    <row r="119">
      <c r="A119" s="12" t="inlineStr">
        <is>
          <t>GnG Amazigh</t>
        </is>
      </c>
      <c r="B119" s="12" t="inlineStr">
        <is>
          <t>2v3</t>
        </is>
      </c>
      <c r="C119" s="12" t="n">
        <v>2</v>
      </c>
      <c r="D119" s="12" t="n">
        <v>3</v>
      </c>
      <c r="E119" s="12" t="inlineStr">
        <is>
          <t>-1</t>
        </is>
      </c>
      <c r="F119" s="12" t="n">
        <v>46</v>
      </c>
      <c r="G119" s="12" t="n">
        <v>159</v>
      </c>
      <c r="H119" s="12" t="n">
        <v>22.44</v>
      </c>
    </row>
    <row r="120">
      <c r="A120" s="8" t="inlineStr">
        <is>
          <t>GnG Amazigh</t>
        </is>
      </c>
      <c r="B120" s="8" t="inlineStr">
        <is>
          <t>1v2</t>
        </is>
      </c>
      <c r="C120" s="8" t="n">
        <v>1</v>
      </c>
      <c r="D120" s="8" t="n">
        <v>2</v>
      </c>
      <c r="E120" s="8" t="inlineStr">
        <is>
          <t>-1</t>
        </is>
      </c>
      <c r="F120" s="8" t="n">
        <v>23</v>
      </c>
      <c r="G120" s="8" t="n">
        <v>135</v>
      </c>
      <c r="H120" s="8" t="n">
        <v>14.56</v>
      </c>
    </row>
    <row r="121">
      <c r="A121" s="12" t="inlineStr">
        <is>
          <t>GnG Amazigh</t>
        </is>
      </c>
      <c r="B121" s="12" t="inlineStr">
        <is>
          <t>3v5</t>
        </is>
      </c>
      <c r="C121" s="12" t="n">
        <v>3</v>
      </c>
      <c r="D121" s="12" t="n">
        <v>5</v>
      </c>
      <c r="E121" s="12" t="inlineStr">
        <is>
          <t>-2</t>
        </is>
      </c>
      <c r="F121" s="12" t="n">
        <v>27</v>
      </c>
      <c r="G121" s="12" t="n">
        <v>151</v>
      </c>
      <c r="H121" s="12" t="n">
        <v>15.17</v>
      </c>
    </row>
    <row r="122">
      <c r="A122" s="8" t="inlineStr">
        <is>
          <t>GnG Amazigh</t>
        </is>
      </c>
      <c r="B122" s="8" t="inlineStr">
        <is>
          <t>2v4</t>
        </is>
      </c>
      <c r="C122" s="8" t="n">
        <v>2</v>
      </c>
      <c r="D122" s="8" t="n">
        <v>4</v>
      </c>
      <c r="E122" s="8" t="inlineStr">
        <is>
          <t>-2</t>
        </is>
      </c>
      <c r="F122" s="8" t="n">
        <v>21</v>
      </c>
      <c r="G122" s="8" t="n">
        <v>148</v>
      </c>
      <c r="H122" s="8" t="n">
        <v>12.43</v>
      </c>
    </row>
    <row r="123">
      <c r="A123" s="12" t="inlineStr">
        <is>
          <t>GnG Amazigh</t>
        </is>
      </c>
      <c r="B123" s="12" t="inlineStr">
        <is>
          <t>1v3</t>
        </is>
      </c>
      <c r="C123" s="12" t="n">
        <v>1</v>
      </c>
      <c r="D123" s="12" t="n">
        <v>3</v>
      </c>
      <c r="E123" s="12" t="inlineStr">
        <is>
          <t>-2</t>
        </is>
      </c>
      <c r="F123" s="12" t="n">
        <v>11</v>
      </c>
      <c r="G123" s="12" t="n">
        <v>143</v>
      </c>
      <c r="H123" s="12" t="n">
        <v>7.14</v>
      </c>
    </row>
    <row r="124">
      <c r="A124" s="8" t="inlineStr">
        <is>
          <t>GnG Amazigh</t>
        </is>
      </c>
      <c r="B124" s="8" t="inlineStr">
        <is>
          <t>2v5</t>
        </is>
      </c>
      <c r="C124" s="8" t="n">
        <v>2</v>
      </c>
      <c r="D124" s="8" t="n">
        <v>5</v>
      </c>
      <c r="E124" s="8" t="inlineStr">
        <is>
          <t>-3</t>
        </is>
      </c>
      <c r="F124" s="8" t="n">
        <v>3</v>
      </c>
      <c r="G124" s="8" t="n">
        <v>93</v>
      </c>
      <c r="H124" s="8" t="n">
        <v>3.12</v>
      </c>
    </row>
    <row r="125">
      <c r="A125" s="12" t="inlineStr">
        <is>
          <t>GnG Amazigh</t>
        </is>
      </c>
      <c r="B125" s="12" t="inlineStr">
        <is>
          <t>1v4</t>
        </is>
      </c>
      <c r="C125" s="12" t="n">
        <v>1</v>
      </c>
      <c r="D125" s="12" t="n">
        <v>4</v>
      </c>
      <c r="E125" s="12" t="inlineStr">
        <is>
          <t>-3</t>
        </is>
      </c>
      <c r="F125" s="12" t="n">
        <v>0</v>
      </c>
      <c r="G125" s="12" t="n">
        <v>99</v>
      </c>
      <c r="H125" s="12" t="n">
        <v>0</v>
      </c>
    </row>
    <row r="126">
      <c r="A126" s="8" t="inlineStr">
        <is>
          <t>GnG Amazigh</t>
        </is>
      </c>
      <c r="B126" s="8" t="inlineStr">
        <is>
          <t>1v5</t>
        </is>
      </c>
      <c r="C126" s="8" t="n">
        <v>1</v>
      </c>
      <c r="D126" s="8" t="n">
        <v>5</v>
      </c>
      <c r="E126" s="8" t="inlineStr">
        <is>
          <t>-4</t>
        </is>
      </c>
      <c r="F126" s="8" t="n">
        <v>0</v>
      </c>
      <c r="G126" s="8" t="n">
        <v>55</v>
      </c>
      <c r="H126" s="8" t="n">
        <v>0</v>
      </c>
    </row>
    <row r="127">
      <c r="A127" s="12" t="inlineStr">
        <is>
          <t>Joblife</t>
        </is>
      </c>
      <c r="B127" s="12" t="inlineStr">
        <is>
          <t>5v1</t>
        </is>
      </c>
      <c r="C127" s="12" t="n">
        <v>5</v>
      </c>
      <c r="D127" s="12" t="n">
        <v>1</v>
      </c>
      <c r="E127" s="12" t="inlineStr">
        <is>
          <t>+4</t>
        </is>
      </c>
      <c r="F127" s="12" t="n">
        <v>65</v>
      </c>
      <c r="G127" s="12" t="n">
        <v>0</v>
      </c>
      <c r="H127" s="12" t="n">
        <v>100</v>
      </c>
    </row>
    <row r="128">
      <c r="A128" s="8" t="inlineStr">
        <is>
          <t>Joblife</t>
        </is>
      </c>
      <c r="B128" s="8" t="inlineStr">
        <is>
          <t>5v2</t>
        </is>
      </c>
      <c r="C128" s="8" t="n">
        <v>5</v>
      </c>
      <c r="D128" s="8" t="n">
        <v>2</v>
      </c>
      <c r="E128" s="8" t="inlineStr">
        <is>
          <t>+3</t>
        </is>
      </c>
      <c r="F128" s="8" t="n">
        <v>105</v>
      </c>
      <c r="G128" s="8" t="n">
        <v>1</v>
      </c>
      <c r="H128" s="8" t="n">
        <v>99.06</v>
      </c>
    </row>
    <row r="129">
      <c r="A129" s="12" t="inlineStr">
        <is>
          <t>Joblife</t>
        </is>
      </c>
      <c r="B129" s="12" t="inlineStr">
        <is>
          <t>4v1</t>
        </is>
      </c>
      <c r="C129" s="12" t="n">
        <v>4</v>
      </c>
      <c r="D129" s="12" t="n">
        <v>1</v>
      </c>
      <c r="E129" s="12" t="inlineStr">
        <is>
          <t>+3</t>
        </is>
      </c>
      <c r="F129" s="12" t="n">
        <v>127</v>
      </c>
      <c r="G129" s="12" t="n">
        <v>1</v>
      </c>
      <c r="H129" s="12" t="n">
        <v>99.22</v>
      </c>
    </row>
    <row r="130">
      <c r="A130" s="8" t="inlineStr">
        <is>
          <t>Joblife</t>
        </is>
      </c>
      <c r="B130" s="8" t="inlineStr">
        <is>
          <t>5v3</t>
        </is>
      </c>
      <c r="C130" s="8" t="n">
        <v>5</v>
      </c>
      <c r="D130" s="8" t="n">
        <v>3</v>
      </c>
      <c r="E130" s="8" t="inlineStr">
        <is>
          <t>+2</t>
        </is>
      </c>
      <c r="F130" s="8" t="n">
        <v>165</v>
      </c>
      <c r="G130" s="8" t="n">
        <v>18</v>
      </c>
      <c r="H130" s="8" t="n">
        <v>90.16</v>
      </c>
    </row>
    <row r="131">
      <c r="A131" s="12" t="inlineStr">
        <is>
          <t>Joblife</t>
        </is>
      </c>
      <c r="B131" s="12" t="inlineStr">
        <is>
          <t>4v2</t>
        </is>
      </c>
      <c r="C131" s="12" t="n">
        <v>4</v>
      </c>
      <c r="D131" s="12" t="n">
        <v>2</v>
      </c>
      <c r="E131" s="12" t="inlineStr">
        <is>
          <t>+2</t>
        </is>
      </c>
      <c r="F131" s="12" t="n">
        <v>163</v>
      </c>
      <c r="G131" s="12" t="n">
        <v>12</v>
      </c>
      <c r="H131" s="12" t="n">
        <v>93.14</v>
      </c>
    </row>
    <row r="132">
      <c r="A132" s="8" t="inlineStr">
        <is>
          <t>Joblife</t>
        </is>
      </c>
      <c r="B132" s="8" t="inlineStr">
        <is>
          <t>3v1</t>
        </is>
      </c>
      <c r="C132" s="8" t="n">
        <v>3</v>
      </c>
      <c r="D132" s="8" t="n">
        <v>1</v>
      </c>
      <c r="E132" s="8" t="inlineStr">
        <is>
          <t>+2</t>
        </is>
      </c>
      <c r="F132" s="8" t="n">
        <v>149</v>
      </c>
      <c r="G132" s="8" t="n">
        <v>6</v>
      </c>
      <c r="H132" s="8" t="n">
        <v>96.13</v>
      </c>
    </row>
    <row r="133">
      <c r="A133" s="12" t="inlineStr">
        <is>
          <t>Joblife</t>
        </is>
      </c>
      <c r="B133" s="12" t="inlineStr">
        <is>
          <t>5v4</t>
        </is>
      </c>
      <c r="C133" s="12" t="n">
        <v>5</v>
      </c>
      <c r="D133" s="12" t="n">
        <v>4</v>
      </c>
      <c r="E133" s="12" t="inlineStr">
        <is>
          <t>+1</t>
        </is>
      </c>
      <c r="F133" s="12" t="n">
        <v>270</v>
      </c>
      <c r="G133" s="12" t="n">
        <v>85</v>
      </c>
      <c r="H133" s="12" t="n">
        <v>76.06</v>
      </c>
    </row>
    <row r="134">
      <c r="A134" s="8" t="inlineStr">
        <is>
          <t>Joblife</t>
        </is>
      </c>
      <c r="B134" s="8" t="inlineStr">
        <is>
          <t>4v3</t>
        </is>
      </c>
      <c r="C134" s="8" t="n">
        <v>4</v>
      </c>
      <c r="D134" s="8" t="n">
        <v>3</v>
      </c>
      <c r="E134" s="8" t="inlineStr">
        <is>
          <t>+1</t>
        </is>
      </c>
      <c r="F134" s="8" t="n">
        <v>196</v>
      </c>
      <c r="G134" s="8" t="n">
        <v>51</v>
      </c>
      <c r="H134" s="8" t="n">
        <v>79.34999999999999</v>
      </c>
    </row>
    <row r="135">
      <c r="A135" s="12" t="inlineStr">
        <is>
          <t>Joblife</t>
        </is>
      </c>
      <c r="B135" s="12" t="inlineStr">
        <is>
          <t>3v2</t>
        </is>
      </c>
      <c r="C135" s="12" t="n">
        <v>3</v>
      </c>
      <c r="D135" s="12" t="n">
        <v>2</v>
      </c>
      <c r="E135" s="12" t="inlineStr">
        <is>
          <t>+1</t>
        </is>
      </c>
      <c r="F135" s="12" t="n">
        <v>157</v>
      </c>
      <c r="G135" s="12" t="n">
        <v>28</v>
      </c>
      <c r="H135" s="12" t="n">
        <v>84.86</v>
      </c>
    </row>
    <row r="136">
      <c r="A136" s="8" t="inlineStr">
        <is>
          <t>Joblife</t>
        </is>
      </c>
      <c r="B136" s="8" t="inlineStr">
        <is>
          <t>2v1</t>
        </is>
      </c>
      <c r="C136" s="8" t="n">
        <v>2</v>
      </c>
      <c r="D136" s="8" t="n">
        <v>1</v>
      </c>
      <c r="E136" s="8" t="inlineStr">
        <is>
          <t>+1</t>
        </is>
      </c>
      <c r="F136" s="8" t="n">
        <v>121</v>
      </c>
      <c r="G136" s="8" t="n">
        <v>20</v>
      </c>
      <c r="H136" s="8" t="n">
        <v>85.81999999999999</v>
      </c>
    </row>
    <row r="137">
      <c r="A137" s="12" t="inlineStr">
        <is>
          <t>Joblife</t>
        </is>
      </c>
      <c r="B137" s="12" t="inlineStr">
        <is>
          <t>5v5</t>
        </is>
      </c>
      <c r="C137" s="12" t="n">
        <v>5</v>
      </c>
      <c r="D137" s="12" t="n">
        <v>5</v>
      </c>
      <c r="E137" s="12" t="inlineStr">
        <is>
          <t>0</t>
        </is>
      </c>
      <c r="F137" s="12" t="n">
        <v>385</v>
      </c>
      <c r="G137" s="12" t="n">
        <v>298</v>
      </c>
      <c r="H137" s="12" t="n">
        <v>56.37</v>
      </c>
    </row>
    <row r="138">
      <c r="A138" s="8" t="inlineStr">
        <is>
          <t>Joblife</t>
        </is>
      </c>
      <c r="B138" s="8" t="inlineStr">
        <is>
          <t>4v4</t>
        </is>
      </c>
      <c r="C138" s="8" t="n">
        <v>4</v>
      </c>
      <c r="D138" s="8" t="n">
        <v>4</v>
      </c>
      <c r="E138" s="8" t="inlineStr">
        <is>
          <t>0</t>
        </is>
      </c>
      <c r="F138" s="8" t="n">
        <v>181</v>
      </c>
      <c r="G138" s="8" t="n">
        <v>133</v>
      </c>
      <c r="H138" s="8" t="n">
        <v>57.64</v>
      </c>
    </row>
    <row r="139">
      <c r="A139" s="12" t="inlineStr">
        <is>
          <t>Joblife</t>
        </is>
      </c>
      <c r="B139" s="12" t="inlineStr">
        <is>
          <t>3v3</t>
        </is>
      </c>
      <c r="C139" s="12" t="n">
        <v>3</v>
      </c>
      <c r="D139" s="12" t="n">
        <v>3</v>
      </c>
      <c r="E139" s="12" t="inlineStr">
        <is>
          <t>0</t>
        </is>
      </c>
      <c r="F139" s="12" t="n">
        <v>130</v>
      </c>
      <c r="G139" s="12" t="n">
        <v>84</v>
      </c>
      <c r="H139" s="12" t="n">
        <v>60.75</v>
      </c>
    </row>
    <row r="140">
      <c r="A140" s="8" t="inlineStr">
        <is>
          <t>Joblife</t>
        </is>
      </c>
      <c r="B140" s="8" t="inlineStr">
        <is>
          <t>2v2</t>
        </is>
      </c>
      <c r="C140" s="8" t="n">
        <v>2</v>
      </c>
      <c r="D140" s="8" t="n">
        <v>2</v>
      </c>
      <c r="E140" s="8" t="inlineStr">
        <is>
          <t>0</t>
        </is>
      </c>
      <c r="F140" s="8" t="n">
        <v>90</v>
      </c>
      <c r="G140" s="8" t="n">
        <v>72</v>
      </c>
      <c r="H140" s="8" t="n">
        <v>55.56</v>
      </c>
    </row>
    <row r="141">
      <c r="A141" s="12" t="inlineStr">
        <is>
          <t>Joblife</t>
        </is>
      </c>
      <c r="B141" s="12" t="inlineStr">
        <is>
          <t>1v1</t>
        </is>
      </c>
      <c r="C141" s="12" t="n">
        <v>1</v>
      </c>
      <c r="D141" s="12" t="n">
        <v>1</v>
      </c>
      <c r="E141" s="12" t="inlineStr">
        <is>
          <t>0</t>
        </is>
      </c>
      <c r="F141" s="12" t="n">
        <v>52</v>
      </c>
      <c r="G141" s="12" t="n">
        <v>49</v>
      </c>
      <c r="H141" s="12" t="n">
        <v>51.49</v>
      </c>
    </row>
    <row r="142">
      <c r="A142" s="8" t="inlineStr">
        <is>
          <t>Joblife</t>
        </is>
      </c>
      <c r="B142" s="8" t="inlineStr">
        <is>
          <t>4v5</t>
        </is>
      </c>
      <c r="C142" s="8" t="n">
        <v>4</v>
      </c>
      <c r="D142" s="8" t="n">
        <v>5</v>
      </c>
      <c r="E142" s="8" t="inlineStr">
        <is>
          <t>-1</t>
        </is>
      </c>
      <c r="F142" s="8" t="n">
        <v>105</v>
      </c>
      <c r="G142" s="8" t="n">
        <v>201</v>
      </c>
      <c r="H142" s="8" t="n">
        <v>34.31</v>
      </c>
    </row>
    <row r="143">
      <c r="A143" s="12" t="inlineStr">
        <is>
          <t>Joblife</t>
        </is>
      </c>
      <c r="B143" s="12" t="inlineStr">
        <is>
          <t>3v4</t>
        </is>
      </c>
      <c r="C143" s="12" t="n">
        <v>3</v>
      </c>
      <c r="D143" s="12" t="n">
        <v>4</v>
      </c>
      <c r="E143" s="12" t="inlineStr">
        <is>
          <t>-1</t>
        </is>
      </c>
      <c r="F143" s="12" t="n">
        <v>70</v>
      </c>
      <c r="G143" s="12" t="n">
        <v>157</v>
      </c>
      <c r="H143" s="12" t="n">
        <v>30.84</v>
      </c>
    </row>
    <row r="144">
      <c r="A144" s="8" t="inlineStr">
        <is>
          <t>Joblife</t>
        </is>
      </c>
      <c r="B144" s="8" t="inlineStr">
        <is>
          <t>2v3</t>
        </is>
      </c>
      <c r="C144" s="8" t="n">
        <v>2</v>
      </c>
      <c r="D144" s="8" t="n">
        <v>3</v>
      </c>
      <c r="E144" s="8" t="inlineStr">
        <is>
          <t>-1</t>
        </is>
      </c>
      <c r="F144" s="8" t="n">
        <v>42</v>
      </c>
      <c r="G144" s="8" t="n">
        <v>125</v>
      </c>
      <c r="H144" s="8" t="n">
        <v>25.15</v>
      </c>
    </row>
    <row r="145">
      <c r="A145" s="12" t="inlineStr">
        <is>
          <t>Joblife</t>
        </is>
      </c>
      <c r="B145" s="12" t="inlineStr">
        <is>
          <t>1v2</t>
        </is>
      </c>
      <c r="C145" s="12" t="n">
        <v>1</v>
      </c>
      <c r="D145" s="12" t="n">
        <v>2</v>
      </c>
      <c r="E145" s="12" t="inlineStr">
        <is>
          <t>-1</t>
        </is>
      </c>
      <c r="F145" s="12" t="n">
        <v>22</v>
      </c>
      <c r="G145" s="12" t="n">
        <v>100</v>
      </c>
      <c r="H145" s="12" t="n">
        <v>18.03</v>
      </c>
    </row>
    <row r="146">
      <c r="A146" s="8" t="inlineStr">
        <is>
          <t>Joblife</t>
        </is>
      </c>
      <c r="B146" s="8" t="inlineStr">
        <is>
          <t>3v5</t>
        </is>
      </c>
      <c r="C146" s="8" t="n">
        <v>3</v>
      </c>
      <c r="D146" s="8" t="n">
        <v>5</v>
      </c>
      <c r="E146" s="8" t="inlineStr">
        <is>
          <t>-2</t>
        </is>
      </c>
      <c r="F146" s="8" t="n">
        <v>29</v>
      </c>
      <c r="G146" s="8" t="n">
        <v>135</v>
      </c>
      <c r="H146" s="8" t="n">
        <v>17.68</v>
      </c>
    </row>
    <row r="147">
      <c r="A147" s="12" t="inlineStr">
        <is>
          <t>Joblife</t>
        </is>
      </c>
      <c r="B147" s="12" t="inlineStr">
        <is>
          <t>2v4</t>
        </is>
      </c>
      <c r="C147" s="12" t="n">
        <v>2</v>
      </c>
      <c r="D147" s="12" t="n">
        <v>4</v>
      </c>
      <c r="E147" s="12" t="inlineStr">
        <is>
          <t>-2</t>
        </is>
      </c>
      <c r="F147" s="12" t="n">
        <v>14</v>
      </c>
      <c r="G147" s="12" t="n">
        <v>142</v>
      </c>
      <c r="H147" s="12" t="n">
        <v>8.970000000000001</v>
      </c>
    </row>
    <row r="148">
      <c r="A148" s="8" t="inlineStr">
        <is>
          <t>Joblife</t>
        </is>
      </c>
      <c r="B148" s="8" t="inlineStr">
        <is>
          <t>1v3</t>
        </is>
      </c>
      <c r="C148" s="8" t="n">
        <v>1</v>
      </c>
      <c r="D148" s="8" t="n">
        <v>3</v>
      </c>
      <c r="E148" s="8" t="inlineStr">
        <is>
          <t>-2</t>
        </is>
      </c>
      <c r="F148" s="8" t="n">
        <v>8</v>
      </c>
      <c r="G148" s="8" t="n">
        <v>107</v>
      </c>
      <c r="H148" s="8" t="n">
        <v>6.96</v>
      </c>
    </row>
    <row r="149">
      <c r="A149" s="12" t="inlineStr">
        <is>
          <t>Joblife</t>
        </is>
      </c>
      <c r="B149" s="12" t="inlineStr">
        <is>
          <t>2v5</t>
        </is>
      </c>
      <c r="C149" s="12" t="n">
        <v>2</v>
      </c>
      <c r="D149" s="12" t="n">
        <v>5</v>
      </c>
      <c r="E149" s="12" t="inlineStr">
        <is>
          <t>-3</t>
        </is>
      </c>
      <c r="F149" s="12" t="n">
        <v>4</v>
      </c>
      <c r="G149" s="12" t="n">
        <v>76</v>
      </c>
      <c r="H149" s="12" t="n">
        <v>5</v>
      </c>
    </row>
    <row r="150">
      <c r="A150" s="8" t="inlineStr">
        <is>
          <t>Joblife</t>
        </is>
      </c>
      <c r="B150" s="8" t="inlineStr">
        <is>
          <t>1v4</t>
        </is>
      </c>
      <c r="C150" s="8" t="n">
        <v>1</v>
      </c>
      <c r="D150" s="8" t="n">
        <v>4</v>
      </c>
      <c r="E150" s="8" t="inlineStr">
        <is>
          <t>-3</t>
        </is>
      </c>
      <c r="F150" s="8" t="n">
        <v>3</v>
      </c>
      <c r="G150" s="8" t="n">
        <v>96</v>
      </c>
      <c r="H150" s="8" t="n">
        <v>3.03</v>
      </c>
    </row>
    <row r="151">
      <c r="A151" s="12" t="inlineStr">
        <is>
          <t>Joblife</t>
        </is>
      </c>
      <c r="B151" s="12" t="inlineStr">
        <is>
          <t>1v5</t>
        </is>
      </c>
      <c r="C151" s="12" t="n">
        <v>1</v>
      </c>
      <c r="D151" s="12" t="n">
        <v>5</v>
      </c>
      <c r="E151" s="12" t="inlineStr">
        <is>
          <t>-4</t>
        </is>
      </c>
      <c r="F151" s="12" t="n">
        <v>0</v>
      </c>
      <c r="G151" s="12" t="n">
        <v>45</v>
      </c>
      <c r="H151" s="12" t="n">
        <v>0</v>
      </c>
    </row>
    <row r="152">
      <c r="A152" s="8" t="inlineStr">
        <is>
          <t>MIR</t>
        </is>
      </c>
      <c r="B152" s="8" t="inlineStr">
        <is>
          <t>5v1</t>
        </is>
      </c>
      <c r="C152" s="8" t="n">
        <v>5</v>
      </c>
      <c r="D152" s="8" t="n">
        <v>1</v>
      </c>
      <c r="E152" s="8" t="inlineStr">
        <is>
          <t>+4</t>
        </is>
      </c>
      <c r="F152" s="8" t="n">
        <v>15</v>
      </c>
      <c r="G152" s="8" t="n">
        <v>0</v>
      </c>
      <c r="H152" s="8" t="n">
        <v>100</v>
      </c>
    </row>
    <row r="153">
      <c r="A153" s="12" t="inlineStr">
        <is>
          <t>MIR</t>
        </is>
      </c>
      <c r="B153" s="12" t="inlineStr">
        <is>
          <t>5v2</t>
        </is>
      </c>
      <c r="C153" s="12" t="n">
        <v>5</v>
      </c>
      <c r="D153" s="12" t="n">
        <v>2</v>
      </c>
      <c r="E153" s="12" t="inlineStr">
        <is>
          <t>+3</t>
        </is>
      </c>
      <c r="F153" s="12" t="n">
        <v>33</v>
      </c>
      <c r="G153" s="12" t="n">
        <v>1</v>
      </c>
      <c r="H153" s="12" t="n">
        <v>97.06</v>
      </c>
    </row>
    <row r="154">
      <c r="A154" s="8" t="inlineStr">
        <is>
          <t>MIR</t>
        </is>
      </c>
      <c r="B154" s="8" t="inlineStr">
        <is>
          <t>4v1</t>
        </is>
      </c>
      <c r="C154" s="8" t="n">
        <v>4</v>
      </c>
      <c r="D154" s="8" t="n">
        <v>1</v>
      </c>
      <c r="E154" s="8" t="inlineStr">
        <is>
          <t>+3</t>
        </is>
      </c>
      <c r="F154" s="8" t="n">
        <v>37</v>
      </c>
      <c r="G154" s="8" t="n">
        <v>0</v>
      </c>
      <c r="H154" s="8" t="n">
        <v>100</v>
      </c>
    </row>
    <row r="155">
      <c r="A155" s="12" t="inlineStr">
        <is>
          <t>MIR</t>
        </is>
      </c>
      <c r="B155" s="12" t="inlineStr">
        <is>
          <t>5v3</t>
        </is>
      </c>
      <c r="C155" s="12" t="n">
        <v>5</v>
      </c>
      <c r="D155" s="12" t="n">
        <v>3</v>
      </c>
      <c r="E155" s="12" t="inlineStr">
        <is>
          <t>+2</t>
        </is>
      </c>
      <c r="F155" s="12" t="n">
        <v>53</v>
      </c>
      <c r="G155" s="12" t="n">
        <v>7</v>
      </c>
      <c r="H155" s="12" t="n">
        <v>88.33</v>
      </c>
    </row>
    <row r="156">
      <c r="A156" s="8" t="inlineStr">
        <is>
          <t>MIR</t>
        </is>
      </c>
      <c r="B156" s="8" t="inlineStr">
        <is>
          <t>4v2</t>
        </is>
      </c>
      <c r="C156" s="8" t="n">
        <v>4</v>
      </c>
      <c r="D156" s="8" t="n">
        <v>2</v>
      </c>
      <c r="E156" s="8" t="inlineStr">
        <is>
          <t>+2</t>
        </is>
      </c>
      <c r="F156" s="8" t="n">
        <v>56</v>
      </c>
      <c r="G156" s="8" t="n">
        <v>6</v>
      </c>
      <c r="H156" s="8" t="n">
        <v>90.31999999999999</v>
      </c>
    </row>
    <row r="157">
      <c r="A157" s="12" t="inlineStr">
        <is>
          <t>MIR</t>
        </is>
      </c>
      <c r="B157" s="12" t="inlineStr">
        <is>
          <t>3v1</t>
        </is>
      </c>
      <c r="C157" s="12" t="n">
        <v>3</v>
      </c>
      <c r="D157" s="12" t="n">
        <v>1</v>
      </c>
      <c r="E157" s="12" t="inlineStr">
        <is>
          <t>+2</t>
        </is>
      </c>
      <c r="F157" s="12" t="n">
        <v>44</v>
      </c>
      <c r="G157" s="12" t="n">
        <v>2</v>
      </c>
      <c r="H157" s="12" t="n">
        <v>95.65000000000001</v>
      </c>
    </row>
    <row r="158">
      <c r="A158" s="8" t="inlineStr">
        <is>
          <t>MIR</t>
        </is>
      </c>
      <c r="B158" s="8" t="inlineStr">
        <is>
          <t>5v4</t>
        </is>
      </c>
      <c r="C158" s="8" t="n">
        <v>5</v>
      </c>
      <c r="D158" s="8" t="n">
        <v>4</v>
      </c>
      <c r="E158" s="8" t="inlineStr">
        <is>
          <t>+1</t>
        </is>
      </c>
      <c r="F158" s="8" t="n">
        <v>78</v>
      </c>
      <c r="G158" s="8" t="n">
        <v>28</v>
      </c>
      <c r="H158" s="8" t="n">
        <v>73.58</v>
      </c>
    </row>
    <row r="159">
      <c r="A159" s="12" t="inlineStr">
        <is>
          <t>MIR</t>
        </is>
      </c>
      <c r="B159" s="12" t="inlineStr">
        <is>
          <t>4v3</t>
        </is>
      </c>
      <c r="C159" s="12" t="n">
        <v>4</v>
      </c>
      <c r="D159" s="12" t="n">
        <v>3</v>
      </c>
      <c r="E159" s="12" t="inlineStr">
        <is>
          <t>+1</t>
        </is>
      </c>
      <c r="F159" s="12" t="n">
        <v>60</v>
      </c>
      <c r="G159" s="12" t="n">
        <v>19</v>
      </c>
      <c r="H159" s="12" t="n">
        <v>75.95</v>
      </c>
    </row>
    <row r="160">
      <c r="A160" s="8" t="inlineStr">
        <is>
          <t>MIR</t>
        </is>
      </c>
      <c r="B160" s="8" t="inlineStr">
        <is>
          <t>3v2</t>
        </is>
      </c>
      <c r="C160" s="8" t="n">
        <v>3</v>
      </c>
      <c r="D160" s="8" t="n">
        <v>2</v>
      </c>
      <c r="E160" s="8" t="inlineStr">
        <is>
          <t>+1</t>
        </is>
      </c>
      <c r="F160" s="8" t="n">
        <v>48</v>
      </c>
      <c r="G160" s="8" t="n">
        <v>17</v>
      </c>
      <c r="H160" s="8" t="n">
        <v>73.84999999999999</v>
      </c>
    </row>
    <row r="161">
      <c r="A161" s="12" t="inlineStr">
        <is>
          <t>MIR</t>
        </is>
      </c>
      <c r="B161" s="12" t="inlineStr">
        <is>
          <t>2v1</t>
        </is>
      </c>
      <c r="C161" s="12" t="n">
        <v>2</v>
      </c>
      <c r="D161" s="12" t="n">
        <v>1</v>
      </c>
      <c r="E161" s="12" t="inlineStr">
        <is>
          <t>+1</t>
        </is>
      </c>
      <c r="F161" s="12" t="n">
        <v>40</v>
      </c>
      <c r="G161" s="12" t="n">
        <v>11</v>
      </c>
      <c r="H161" s="12" t="n">
        <v>78.43000000000001</v>
      </c>
    </row>
    <row r="162">
      <c r="A162" s="8" t="inlineStr">
        <is>
          <t>MIR</t>
        </is>
      </c>
      <c r="B162" s="8" t="inlineStr">
        <is>
          <t>5v5</t>
        </is>
      </c>
      <c r="C162" s="8" t="n">
        <v>5</v>
      </c>
      <c r="D162" s="8" t="n">
        <v>5</v>
      </c>
      <c r="E162" s="8" t="inlineStr">
        <is>
          <t>0</t>
        </is>
      </c>
      <c r="F162" s="8" t="n">
        <v>110</v>
      </c>
      <c r="G162" s="8" t="n">
        <v>108</v>
      </c>
      <c r="H162" s="8" t="n">
        <v>50.46</v>
      </c>
    </row>
    <row r="163">
      <c r="A163" s="12" t="inlineStr">
        <is>
          <t>MIR</t>
        </is>
      </c>
      <c r="B163" s="12" t="inlineStr">
        <is>
          <t>4v4</t>
        </is>
      </c>
      <c r="C163" s="12" t="n">
        <v>4</v>
      </c>
      <c r="D163" s="12" t="n">
        <v>4</v>
      </c>
      <c r="E163" s="12" t="inlineStr">
        <is>
          <t>0</t>
        </is>
      </c>
      <c r="F163" s="12" t="n">
        <v>54</v>
      </c>
      <c r="G163" s="12" t="n">
        <v>52</v>
      </c>
      <c r="H163" s="12" t="n">
        <v>50.94</v>
      </c>
    </row>
    <row r="164">
      <c r="A164" s="8" t="inlineStr">
        <is>
          <t>MIR</t>
        </is>
      </c>
      <c r="B164" s="8" t="inlineStr">
        <is>
          <t>3v3</t>
        </is>
      </c>
      <c r="C164" s="8" t="n">
        <v>3</v>
      </c>
      <c r="D164" s="8" t="n">
        <v>3</v>
      </c>
      <c r="E164" s="8" t="inlineStr">
        <is>
          <t>0</t>
        </is>
      </c>
      <c r="F164" s="8" t="n">
        <v>36</v>
      </c>
      <c r="G164" s="8" t="n">
        <v>35</v>
      </c>
      <c r="H164" s="8" t="n">
        <v>50.7</v>
      </c>
    </row>
    <row r="165">
      <c r="A165" s="12" t="inlineStr">
        <is>
          <t>MIR</t>
        </is>
      </c>
      <c r="B165" s="12" t="inlineStr">
        <is>
          <t>2v2</t>
        </is>
      </c>
      <c r="C165" s="12" t="n">
        <v>2</v>
      </c>
      <c r="D165" s="12" t="n">
        <v>2</v>
      </c>
      <c r="E165" s="12" t="inlineStr">
        <is>
          <t>0</t>
        </is>
      </c>
      <c r="F165" s="12" t="n">
        <v>28</v>
      </c>
      <c r="G165" s="12" t="n">
        <v>26</v>
      </c>
      <c r="H165" s="12" t="n">
        <v>51.85</v>
      </c>
    </row>
    <row r="166">
      <c r="A166" s="8" t="inlineStr">
        <is>
          <t>MIR</t>
        </is>
      </c>
      <c r="B166" s="8" t="inlineStr">
        <is>
          <t>1v1</t>
        </is>
      </c>
      <c r="C166" s="8" t="n">
        <v>1</v>
      </c>
      <c r="D166" s="8" t="n">
        <v>1</v>
      </c>
      <c r="E166" s="8" t="inlineStr">
        <is>
          <t>0</t>
        </is>
      </c>
      <c r="F166" s="8" t="n">
        <v>13</v>
      </c>
      <c r="G166" s="8" t="n">
        <v>19</v>
      </c>
      <c r="H166" s="8" t="n">
        <v>40.62</v>
      </c>
    </row>
    <row r="167">
      <c r="A167" s="12" t="inlineStr">
        <is>
          <t>MIR</t>
        </is>
      </c>
      <c r="B167" s="12" t="inlineStr">
        <is>
          <t>4v5</t>
        </is>
      </c>
      <c r="C167" s="12" t="n">
        <v>4</v>
      </c>
      <c r="D167" s="12" t="n">
        <v>5</v>
      </c>
      <c r="E167" s="12" t="inlineStr">
        <is>
          <t>-1</t>
        </is>
      </c>
      <c r="F167" s="12" t="n">
        <v>32</v>
      </c>
      <c r="G167" s="12" t="n">
        <v>80</v>
      </c>
      <c r="H167" s="12" t="n">
        <v>28.57</v>
      </c>
    </row>
    <row r="168">
      <c r="A168" s="8" t="inlineStr">
        <is>
          <t>MIR</t>
        </is>
      </c>
      <c r="B168" s="8" t="inlineStr">
        <is>
          <t>3v4</t>
        </is>
      </c>
      <c r="C168" s="8" t="n">
        <v>3</v>
      </c>
      <c r="D168" s="8" t="n">
        <v>4</v>
      </c>
      <c r="E168" s="8" t="inlineStr">
        <is>
          <t>-1</t>
        </is>
      </c>
      <c r="F168" s="8" t="n">
        <v>17</v>
      </c>
      <c r="G168" s="8" t="n">
        <v>60</v>
      </c>
      <c r="H168" s="8" t="n">
        <v>22.08</v>
      </c>
    </row>
    <row r="169">
      <c r="A169" s="12" t="inlineStr">
        <is>
          <t>MIR</t>
        </is>
      </c>
      <c r="B169" s="12" t="inlineStr">
        <is>
          <t>2v3</t>
        </is>
      </c>
      <c r="C169" s="12" t="n">
        <v>2</v>
      </c>
      <c r="D169" s="12" t="n">
        <v>3</v>
      </c>
      <c r="E169" s="12" t="inlineStr">
        <is>
          <t>-1</t>
        </is>
      </c>
      <c r="F169" s="12" t="n">
        <v>11</v>
      </c>
      <c r="G169" s="12" t="n">
        <v>39</v>
      </c>
      <c r="H169" s="12" t="n">
        <v>22</v>
      </c>
    </row>
    <row r="170">
      <c r="A170" s="8" t="inlineStr">
        <is>
          <t>MIR</t>
        </is>
      </c>
      <c r="B170" s="8" t="inlineStr">
        <is>
          <t>1v2</t>
        </is>
      </c>
      <c r="C170" s="8" t="n">
        <v>1</v>
      </c>
      <c r="D170" s="8" t="n">
        <v>2</v>
      </c>
      <c r="E170" s="8" t="inlineStr">
        <is>
          <t>-1</t>
        </is>
      </c>
      <c r="F170" s="8" t="n">
        <v>6</v>
      </c>
      <c r="G170" s="8" t="n">
        <v>39</v>
      </c>
      <c r="H170" s="8" t="n">
        <v>13.33</v>
      </c>
    </row>
    <row r="171">
      <c r="A171" s="12" t="inlineStr">
        <is>
          <t>MIR</t>
        </is>
      </c>
      <c r="B171" s="12" t="inlineStr">
        <is>
          <t>3v5</t>
        </is>
      </c>
      <c r="C171" s="12" t="n">
        <v>3</v>
      </c>
      <c r="D171" s="12" t="n">
        <v>5</v>
      </c>
      <c r="E171" s="12" t="inlineStr">
        <is>
          <t>-2</t>
        </is>
      </c>
      <c r="F171" s="12" t="n">
        <v>3</v>
      </c>
      <c r="G171" s="12" t="n">
        <v>49</v>
      </c>
      <c r="H171" s="12" t="n">
        <v>5.77</v>
      </c>
    </row>
    <row r="172">
      <c r="A172" s="8" t="inlineStr">
        <is>
          <t>MIR</t>
        </is>
      </c>
      <c r="B172" s="8" t="inlineStr">
        <is>
          <t>2v4</t>
        </is>
      </c>
      <c r="C172" s="8" t="n">
        <v>2</v>
      </c>
      <c r="D172" s="8" t="n">
        <v>4</v>
      </c>
      <c r="E172" s="8" t="inlineStr">
        <is>
          <t>-2</t>
        </is>
      </c>
      <c r="F172" s="8" t="n">
        <v>0</v>
      </c>
      <c r="G172" s="8" t="n">
        <v>53</v>
      </c>
      <c r="H172" s="8" t="n">
        <v>0</v>
      </c>
    </row>
    <row r="173">
      <c r="A173" s="12" t="inlineStr">
        <is>
          <t>MIR</t>
        </is>
      </c>
      <c r="B173" s="12" t="inlineStr">
        <is>
          <t>1v3</t>
        </is>
      </c>
      <c r="C173" s="12" t="n">
        <v>1</v>
      </c>
      <c r="D173" s="12" t="n">
        <v>3</v>
      </c>
      <c r="E173" s="12" t="inlineStr">
        <is>
          <t>-2</t>
        </is>
      </c>
      <c r="F173" s="12" t="n">
        <v>0</v>
      </c>
      <c r="G173" s="12" t="n">
        <v>51</v>
      </c>
      <c r="H173" s="12" t="n">
        <v>0</v>
      </c>
    </row>
    <row r="174">
      <c r="A174" s="8" t="inlineStr">
        <is>
          <t>MIR</t>
        </is>
      </c>
      <c r="B174" s="8" t="inlineStr">
        <is>
          <t>2v5</t>
        </is>
      </c>
      <c r="C174" s="8" t="n">
        <v>2</v>
      </c>
      <c r="D174" s="8" t="n">
        <v>5</v>
      </c>
      <c r="E174" s="8" t="inlineStr">
        <is>
          <t>-3</t>
        </is>
      </c>
      <c r="F174" s="8" t="n">
        <v>0</v>
      </c>
      <c r="G174" s="8" t="n">
        <v>28</v>
      </c>
      <c r="H174" s="8" t="n">
        <v>0</v>
      </c>
    </row>
    <row r="175">
      <c r="A175" s="12" t="inlineStr">
        <is>
          <t>MIR</t>
        </is>
      </c>
      <c r="B175" s="12" t="inlineStr">
        <is>
          <t>1v4</t>
        </is>
      </c>
      <c r="C175" s="12" t="n">
        <v>1</v>
      </c>
      <c r="D175" s="12" t="n">
        <v>4</v>
      </c>
      <c r="E175" s="12" t="inlineStr">
        <is>
          <t>-3</t>
        </is>
      </c>
      <c r="F175" s="12" t="n">
        <v>0</v>
      </c>
      <c r="G175" s="12" t="n">
        <v>44</v>
      </c>
      <c r="H175" s="12" t="n">
        <v>0</v>
      </c>
    </row>
    <row r="176">
      <c r="A176" s="8" t="inlineStr">
        <is>
          <t>MIR</t>
        </is>
      </c>
      <c r="B176" s="8" t="inlineStr">
        <is>
          <t>1v5</t>
        </is>
      </c>
      <c r="C176" s="8" t="n">
        <v>1</v>
      </c>
      <c r="D176" s="8" t="n">
        <v>5</v>
      </c>
      <c r="E176" s="8" t="inlineStr">
        <is>
          <t>-4</t>
        </is>
      </c>
      <c r="F176" s="8" t="n">
        <v>0</v>
      </c>
      <c r="G176" s="8" t="n">
        <v>13</v>
      </c>
      <c r="H176" s="8" t="n">
        <v>0</v>
      </c>
    </row>
    <row r="177">
      <c r="A177" s="12" t="inlineStr">
        <is>
          <t>Mandatory</t>
        </is>
      </c>
      <c r="B177" s="12" t="inlineStr">
        <is>
          <t>5v1</t>
        </is>
      </c>
      <c r="C177" s="12" t="n">
        <v>5</v>
      </c>
      <c r="D177" s="12" t="n">
        <v>1</v>
      </c>
      <c r="E177" s="12" t="inlineStr">
        <is>
          <t>+4</t>
        </is>
      </c>
      <c r="F177" s="12" t="n">
        <v>41</v>
      </c>
      <c r="G177" s="12" t="n">
        <v>0</v>
      </c>
      <c r="H177" s="12" t="n">
        <v>100</v>
      </c>
    </row>
    <row r="178">
      <c r="A178" s="8" t="inlineStr">
        <is>
          <t>Mandatory</t>
        </is>
      </c>
      <c r="B178" s="8" t="inlineStr">
        <is>
          <t>5v2</t>
        </is>
      </c>
      <c r="C178" s="8" t="n">
        <v>5</v>
      </c>
      <c r="D178" s="8" t="n">
        <v>2</v>
      </c>
      <c r="E178" s="8" t="inlineStr">
        <is>
          <t>+3</t>
        </is>
      </c>
      <c r="F178" s="8" t="n">
        <v>86</v>
      </c>
      <c r="G178" s="8" t="n">
        <v>2</v>
      </c>
      <c r="H178" s="8" t="n">
        <v>97.73</v>
      </c>
    </row>
    <row r="179">
      <c r="A179" s="12" t="inlineStr">
        <is>
          <t>Mandatory</t>
        </is>
      </c>
      <c r="B179" s="12" t="inlineStr">
        <is>
          <t>4v1</t>
        </is>
      </c>
      <c r="C179" s="12" t="n">
        <v>4</v>
      </c>
      <c r="D179" s="12" t="n">
        <v>1</v>
      </c>
      <c r="E179" s="12" t="inlineStr">
        <is>
          <t>+3</t>
        </is>
      </c>
      <c r="F179" s="12" t="n">
        <v>114</v>
      </c>
      <c r="G179" s="12" t="n">
        <v>0</v>
      </c>
      <c r="H179" s="12" t="n">
        <v>100</v>
      </c>
    </row>
    <row r="180">
      <c r="A180" s="8" t="inlineStr">
        <is>
          <t>Mandatory</t>
        </is>
      </c>
      <c r="B180" s="8" t="inlineStr">
        <is>
          <t>5v3</t>
        </is>
      </c>
      <c r="C180" s="8" t="n">
        <v>5</v>
      </c>
      <c r="D180" s="8" t="n">
        <v>3</v>
      </c>
      <c r="E180" s="8" t="inlineStr">
        <is>
          <t>+2</t>
        </is>
      </c>
      <c r="F180" s="8" t="n">
        <v>150</v>
      </c>
      <c r="G180" s="8" t="n">
        <v>17</v>
      </c>
      <c r="H180" s="8" t="n">
        <v>89.81999999999999</v>
      </c>
    </row>
    <row r="181">
      <c r="A181" s="12" t="inlineStr">
        <is>
          <t>Mandatory</t>
        </is>
      </c>
      <c r="B181" s="12" t="inlineStr">
        <is>
          <t>4v2</t>
        </is>
      </c>
      <c r="C181" s="12" t="n">
        <v>4</v>
      </c>
      <c r="D181" s="12" t="n">
        <v>2</v>
      </c>
      <c r="E181" s="12" t="inlineStr">
        <is>
          <t>+2</t>
        </is>
      </c>
      <c r="F181" s="12" t="n">
        <v>179</v>
      </c>
      <c r="G181" s="12" t="n">
        <v>13</v>
      </c>
      <c r="H181" s="12" t="n">
        <v>93.23</v>
      </c>
    </row>
    <row r="182">
      <c r="A182" s="8" t="inlineStr">
        <is>
          <t>Mandatory</t>
        </is>
      </c>
      <c r="B182" s="8" t="inlineStr">
        <is>
          <t>3v1</t>
        </is>
      </c>
      <c r="C182" s="8" t="n">
        <v>3</v>
      </c>
      <c r="D182" s="8" t="n">
        <v>1</v>
      </c>
      <c r="E182" s="8" t="inlineStr">
        <is>
          <t>+2</t>
        </is>
      </c>
      <c r="F182" s="8" t="n">
        <v>122</v>
      </c>
      <c r="G182" s="8" t="n">
        <v>3</v>
      </c>
      <c r="H182" s="8" t="n">
        <v>97.59999999999999</v>
      </c>
    </row>
    <row r="183">
      <c r="A183" s="12" t="inlineStr">
        <is>
          <t>Mandatory</t>
        </is>
      </c>
      <c r="B183" s="12" t="inlineStr">
        <is>
          <t>5v4</t>
        </is>
      </c>
      <c r="C183" s="12" t="n">
        <v>5</v>
      </c>
      <c r="D183" s="12" t="n">
        <v>4</v>
      </c>
      <c r="E183" s="12" t="inlineStr">
        <is>
          <t>+1</t>
        </is>
      </c>
      <c r="F183" s="12" t="n">
        <v>235</v>
      </c>
      <c r="G183" s="12" t="n">
        <v>80</v>
      </c>
      <c r="H183" s="12" t="n">
        <v>74.59999999999999</v>
      </c>
    </row>
    <row r="184">
      <c r="A184" s="8" t="inlineStr">
        <is>
          <t>Mandatory</t>
        </is>
      </c>
      <c r="B184" s="8" t="inlineStr">
        <is>
          <t>4v3</t>
        </is>
      </c>
      <c r="C184" s="8" t="n">
        <v>4</v>
      </c>
      <c r="D184" s="8" t="n">
        <v>3</v>
      </c>
      <c r="E184" s="8" t="inlineStr">
        <is>
          <t>+1</t>
        </is>
      </c>
      <c r="F184" s="8" t="n">
        <v>188</v>
      </c>
      <c r="G184" s="8" t="n">
        <v>54</v>
      </c>
      <c r="H184" s="8" t="n">
        <v>77.69</v>
      </c>
    </row>
    <row r="185">
      <c r="A185" s="12" t="inlineStr">
        <is>
          <t>Mandatory</t>
        </is>
      </c>
      <c r="B185" s="12" t="inlineStr">
        <is>
          <t>3v2</t>
        </is>
      </c>
      <c r="C185" s="12" t="n">
        <v>3</v>
      </c>
      <c r="D185" s="12" t="n">
        <v>2</v>
      </c>
      <c r="E185" s="12" t="inlineStr">
        <is>
          <t>+1</t>
        </is>
      </c>
      <c r="F185" s="12" t="n">
        <v>140</v>
      </c>
      <c r="G185" s="12" t="n">
        <v>31</v>
      </c>
      <c r="H185" s="12" t="n">
        <v>81.87</v>
      </c>
    </row>
    <row r="186">
      <c r="A186" s="8" t="inlineStr">
        <is>
          <t>Mandatory</t>
        </is>
      </c>
      <c r="B186" s="8" t="inlineStr">
        <is>
          <t>2v1</t>
        </is>
      </c>
      <c r="C186" s="8" t="n">
        <v>2</v>
      </c>
      <c r="D186" s="8" t="n">
        <v>1</v>
      </c>
      <c r="E186" s="8" t="inlineStr">
        <is>
          <t>+1</t>
        </is>
      </c>
      <c r="F186" s="8" t="n">
        <v>112</v>
      </c>
      <c r="G186" s="8" t="n">
        <v>14</v>
      </c>
      <c r="H186" s="8" t="n">
        <v>88.89</v>
      </c>
    </row>
    <row r="187">
      <c r="A187" s="12" t="inlineStr">
        <is>
          <t>Mandatory</t>
        </is>
      </c>
      <c r="B187" s="12" t="inlineStr">
        <is>
          <t>5v5</t>
        </is>
      </c>
      <c r="C187" s="12" t="n">
        <v>5</v>
      </c>
      <c r="D187" s="12" t="n">
        <v>5</v>
      </c>
      <c r="E187" s="12" t="inlineStr">
        <is>
          <t>0</t>
        </is>
      </c>
      <c r="F187" s="12" t="n">
        <v>338</v>
      </c>
      <c r="G187" s="12" t="n">
        <v>252</v>
      </c>
      <c r="H187" s="12" t="n">
        <v>57.29</v>
      </c>
    </row>
    <row r="188">
      <c r="A188" s="8" t="inlineStr">
        <is>
          <t>Mandatory</t>
        </is>
      </c>
      <c r="B188" s="8" t="inlineStr">
        <is>
          <t>4v4</t>
        </is>
      </c>
      <c r="C188" s="8" t="n">
        <v>4</v>
      </c>
      <c r="D188" s="8" t="n">
        <v>4</v>
      </c>
      <c r="E188" s="8" t="inlineStr">
        <is>
          <t>0</t>
        </is>
      </c>
      <c r="F188" s="8" t="n">
        <v>170</v>
      </c>
      <c r="G188" s="8" t="n">
        <v>129</v>
      </c>
      <c r="H188" s="8" t="n">
        <v>56.86</v>
      </c>
    </row>
    <row r="189">
      <c r="A189" s="12" t="inlineStr">
        <is>
          <t>Mandatory</t>
        </is>
      </c>
      <c r="B189" s="12" t="inlineStr">
        <is>
          <t>3v3</t>
        </is>
      </c>
      <c r="C189" s="12" t="n">
        <v>3</v>
      </c>
      <c r="D189" s="12" t="n">
        <v>3</v>
      </c>
      <c r="E189" s="12" t="inlineStr">
        <is>
          <t>0</t>
        </is>
      </c>
      <c r="F189" s="12" t="n">
        <v>96</v>
      </c>
      <c r="G189" s="12" t="n">
        <v>84</v>
      </c>
      <c r="H189" s="12" t="n">
        <v>53.33</v>
      </c>
    </row>
    <row r="190">
      <c r="A190" s="8" t="inlineStr">
        <is>
          <t>Mandatory</t>
        </is>
      </c>
      <c r="B190" s="8" t="inlineStr">
        <is>
          <t>2v2</t>
        </is>
      </c>
      <c r="C190" s="8" t="n">
        <v>2</v>
      </c>
      <c r="D190" s="8" t="n">
        <v>2</v>
      </c>
      <c r="E190" s="8" t="inlineStr">
        <is>
          <t>0</t>
        </is>
      </c>
      <c r="F190" s="8" t="n">
        <v>86</v>
      </c>
      <c r="G190" s="8" t="n">
        <v>66</v>
      </c>
      <c r="H190" s="8" t="n">
        <v>56.58</v>
      </c>
    </row>
    <row r="191">
      <c r="A191" s="12" t="inlineStr">
        <is>
          <t>Mandatory</t>
        </is>
      </c>
      <c r="B191" s="12" t="inlineStr">
        <is>
          <t>1v1</t>
        </is>
      </c>
      <c r="C191" s="12" t="n">
        <v>1</v>
      </c>
      <c r="D191" s="12" t="n">
        <v>1</v>
      </c>
      <c r="E191" s="12" t="inlineStr">
        <is>
          <t>0</t>
        </is>
      </c>
      <c r="F191" s="12" t="n">
        <v>49</v>
      </c>
      <c r="G191" s="12" t="n">
        <v>37</v>
      </c>
      <c r="H191" s="12" t="n">
        <v>56.98</v>
      </c>
    </row>
    <row r="192">
      <c r="A192" s="8" t="inlineStr">
        <is>
          <t>Mandatory</t>
        </is>
      </c>
      <c r="B192" s="8" t="inlineStr">
        <is>
          <t>4v5</t>
        </is>
      </c>
      <c r="C192" s="8" t="n">
        <v>4</v>
      </c>
      <c r="D192" s="8" t="n">
        <v>5</v>
      </c>
      <c r="E192" s="8" t="inlineStr">
        <is>
          <t>-1</t>
        </is>
      </c>
      <c r="F192" s="8" t="n">
        <v>103</v>
      </c>
      <c r="G192" s="8" t="n">
        <v>172</v>
      </c>
      <c r="H192" s="8" t="n">
        <v>37.45</v>
      </c>
    </row>
    <row r="193">
      <c r="A193" s="12" t="inlineStr">
        <is>
          <t>Mandatory</t>
        </is>
      </c>
      <c r="B193" s="12" t="inlineStr">
        <is>
          <t>3v4</t>
        </is>
      </c>
      <c r="C193" s="12" t="n">
        <v>3</v>
      </c>
      <c r="D193" s="12" t="n">
        <v>4</v>
      </c>
      <c r="E193" s="12" t="inlineStr">
        <is>
          <t>-1</t>
        </is>
      </c>
      <c r="F193" s="12" t="n">
        <v>60</v>
      </c>
      <c r="G193" s="12" t="n">
        <v>131</v>
      </c>
      <c r="H193" s="12" t="n">
        <v>31.41</v>
      </c>
    </row>
    <row r="194">
      <c r="A194" s="8" t="inlineStr">
        <is>
          <t>Mandatory</t>
        </is>
      </c>
      <c r="B194" s="8" t="inlineStr">
        <is>
          <t>2v3</t>
        </is>
      </c>
      <c r="C194" s="8" t="n">
        <v>2</v>
      </c>
      <c r="D194" s="8" t="n">
        <v>3</v>
      </c>
      <c r="E194" s="8" t="inlineStr">
        <is>
          <t>-1</t>
        </is>
      </c>
      <c r="F194" s="8" t="n">
        <v>43</v>
      </c>
      <c r="G194" s="8" t="n">
        <v>109</v>
      </c>
      <c r="H194" s="8" t="n">
        <v>28.29</v>
      </c>
    </row>
    <row r="195">
      <c r="A195" s="12" t="inlineStr">
        <is>
          <t>Mandatory</t>
        </is>
      </c>
      <c r="B195" s="12" t="inlineStr">
        <is>
          <t>1v2</t>
        </is>
      </c>
      <c r="C195" s="12" t="n">
        <v>1</v>
      </c>
      <c r="D195" s="12" t="n">
        <v>2</v>
      </c>
      <c r="E195" s="12" t="inlineStr">
        <is>
          <t>-1</t>
        </is>
      </c>
      <c r="F195" s="12" t="n">
        <v>21</v>
      </c>
      <c r="G195" s="12" t="n">
        <v>90</v>
      </c>
      <c r="H195" s="12" t="n">
        <v>18.92</v>
      </c>
    </row>
    <row r="196">
      <c r="A196" s="8" t="inlineStr">
        <is>
          <t>Mandatory</t>
        </is>
      </c>
      <c r="B196" s="8" t="inlineStr">
        <is>
          <t>3v5</t>
        </is>
      </c>
      <c r="C196" s="8" t="n">
        <v>3</v>
      </c>
      <c r="D196" s="8" t="n">
        <v>5</v>
      </c>
      <c r="E196" s="8" t="inlineStr">
        <is>
          <t>-2</t>
        </is>
      </c>
      <c r="F196" s="8" t="n">
        <v>18</v>
      </c>
      <c r="G196" s="8" t="n">
        <v>106</v>
      </c>
      <c r="H196" s="8" t="n">
        <v>14.52</v>
      </c>
    </row>
    <row r="197">
      <c r="A197" s="12" t="inlineStr">
        <is>
          <t>Mandatory</t>
        </is>
      </c>
      <c r="B197" s="12" t="inlineStr">
        <is>
          <t>2v4</t>
        </is>
      </c>
      <c r="C197" s="12" t="n">
        <v>2</v>
      </c>
      <c r="D197" s="12" t="n">
        <v>4</v>
      </c>
      <c r="E197" s="12" t="inlineStr">
        <is>
          <t>-2</t>
        </is>
      </c>
      <c r="F197" s="12" t="n">
        <v>17</v>
      </c>
      <c r="G197" s="12" t="n">
        <v>111</v>
      </c>
      <c r="H197" s="12" t="n">
        <v>13.28</v>
      </c>
    </row>
    <row r="198">
      <c r="A198" s="8" t="inlineStr">
        <is>
          <t>Mandatory</t>
        </is>
      </c>
      <c r="B198" s="8" t="inlineStr">
        <is>
          <t>1v3</t>
        </is>
      </c>
      <c r="C198" s="8" t="n">
        <v>1</v>
      </c>
      <c r="D198" s="8" t="n">
        <v>3</v>
      </c>
      <c r="E198" s="8" t="inlineStr">
        <is>
          <t>-2</t>
        </is>
      </c>
      <c r="F198" s="8" t="n">
        <v>9</v>
      </c>
      <c r="G198" s="8" t="n">
        <v>102</v>
      </c>
      <c r="H198" s="8" t="n">
        <v>8.109999999999999</v>
      </c>
    </row>
    <row r="199">
      <c r="A199" s="12" t="inlineStr">
        <is>
          <t>Mandatory</t>
        </is>
      </c>
      <c r="B199" s="12" t="inlineStr">
        <is>
          <t>2v5</t>
        </is>
      </c>
      <c r="C199" s="12" t="n">
        <v>2</v>
      </c>
      <c r="D199" s="12" t="n">
        <v>5</v>
      </c>
      <c r="E199" s="12" t="inlineStr">
        <is>
          <t>-3</t>
        </is>
      </c>
      <c r="F199" s="12" t="n">
        <v>2</v>
      </c>
      <c r="G199" s="12" t="n">
        <v>64</v>
      </c>
      <c r="H199" s="12" t="n">
        <v>3.03</v>
      </c>
    </row>
    <row r="200">
      <c r="A200" s="8" t="inlineStr">
        <is>
          <t>Mandatory</t>
        </is>
      </c>
      <c r="B200" s="8" t="inlineStr">
        <is>
          <t>1v4</t>
        </is>
      </c>
      <c r="C200" s="8" t="n">
        <v>1</v>
      </c>
      <c r="D200" s="8" t="n">
        <v>4</v>
      </c>
      <c r="E200" s="8" t="inlineStr">
        <is>
          <t>-3</t>
        </is>
      </c>
      <c r="F200" s="8" t="n">
        <v>4</v>
      </c>
      <c r="G200" s="8" t="n">
        <v>81</v>
      </c>
      <c r="H200" s="8" t="n">
        <v>4.71</v>
      </c>
    </row>
    <row r="201">
      <c r="A201" s="12" t="inlineStr">
        <is>
          <t>Mandatory</t>
        </is>
      </c>
      <c r="B201" s="12" t="inlineStr">
        <is>
          <t>1v5</t>
        </is>
      </c>
      <c r="C201" s="12" t="n">
        <v>1</v>
      </c>
      <c r="D201" s="12" t="n">
        <v>5</v>
      </c>
      <c r="E201" s="12" t="inlineStr">
        <is>
          <t>-4</t>
        </is>
      </c>
      <c r="F201" s="12" t="n">
        <v>0</v>
      </c>
      <c r="G201" s="12" t="n">
        <v>40</v>
      </c>
      <c r="H201" s="12" t="n">
        <v>0</v>
      </c>
    </row>
    <row r="202">
      <c r="A202" s="8" t="inlineStr">
        <is>
          <t>Misa Esports</t>
        </is>
      </c>
      <c r="B202" s="8" t="inlineStr">
        <is>
          <t>5v1</t>
        </is>
      </c>
      <c r="C202" s="8" t="n">
        <v>5</v>
      </c>
      <c r="D202" s="8" t="n">
        <v>1</v>
      </c>
      <c r="E202" s="8" t="inlineStr">
        <is>
          <t>+4</t>
        </is>
      </c>
      <c r="F202" s="8" t="n">
        <v>39</v>
      </c>
      <c r="G202" s="8" t="n">
        <v>0</v>
      </c>
      <c r="H202" s="8" t="n">
        <v>100</v>
      </c>
    </row>
    <row r="203">
      <c r="A203" s="12" t="inlineStr">
        <is>
          <t>Misa Esports</t>
        </is>
      </c>
      <c r="B203" s="12" t="inlineStr">
        <is>
          <t>5v2</t>
        </is>
      </c>
      <c r="C203" s="12" t="n">
        <v>5</v>
      </c>
      <c r="D203" s="12" t="n">
        <v>2</v>
      </c>
      <c r="E203" s="12" t="inlineStr">
        <is>
          <t>+3</t>
        </is>
      </c>
      <c r="F203" s="12" t="n">
        <v>71</v>
      </c>
      <c r="G203" s="12" t="n">
        <v>3</v>
      </c>
      <c r="H203" s="12" t="n">
        <v>95.95</v>
      </c>
    </row>
    <row r="204">
      <c r="A204" s="8" t="inlineStr">
        <is>
          <t>Misa Esports</t>
        </is>
      </c>
      <c r="B204" s="8" t="inlineStr">
        <is>
          <t>4v1</t>
        </is>
      </c>
      <c r="C204" s="8" t="n">
        <v>4</v>
      </c>
      <c r="D204" s="8" t="n">
        <v>1</v>
      </c>
      <c r="E204" s="8" t="inlineStr">
        <is>
          <t>+3</t>
        </is>
      </c>
      <c r="F204" s="8" t="n">
        <v>81</v>
      </c>
      <c r="G204" s="8" t="n">
        <v>0</v>
      </c>
      <c r="H204" s="8" t="n">
        <v>100</v>
      </c>
    </row>
    <row r="205">
      <c r="A205" s="12" t="inlineStr">
        <is>
          <t>Misa Esports</t>
        </is>
      </c>
      <c r="B205" s="12" t="inlineStr">
        <is>
          <t>5v3</t>
        </is>
      </c>
      <c r="C205" s="12" t="n">
        <v>5</v>
      </c>
      <c r="D205" s="12" t="n">
        <v>3</v>
      </c>
      <c r="E205" s="12" t="inlineStr">
        <is>
          <t>+2</t>
        </is>
      </c>
      <c r="F205" s="12" t="n">
        <v>116</v>
      </c>
      <c r="G205" s="12" t="n">
        <v>9</v>
      </c>
      <c r="H205" s="12" t="n">
        <v>92.8</v>
      </c>
    </row>
    <row r="206">
      <c r="A206" s="8" t="inlineStr">
        <is>
          <t>Misa Esports</t>
        </is>
      </c>
      <c r="B206" s="8" t="inlineStr">
        <is>
          <t>4v2</t>
        </is>
      </c>
      <c r="C206" s="8" t="n">
        <v>4</v>
      </c>
      <c r="D206" s="8" t="n">
        <v>2</v>
      </c>
      <c r="E206" s="8" t="inlineStr">
        <is>
          <t>+2</t>
        </is>
      </c>
      <c r="F206" s="8" t="n">
        <v>115</v>
      </c>
      <c r="G206" s="8" t="n">
        <v>9</v>
      </c>
      <c r="H206" s="8" t="n">
        <v>92.73999999999999</v>
      </c>
    </row>
    <row r="207">
      <c r="A207" s="12" t="inlineStr">
        <is>
          <t>Misa Esports</t>
        </is>
      </c>
      <c r="B207" s="12" t="inlineStr">
        <is>
          <t>3v1</t>
        </is>
      </c>
      <c r="C207" s="12" t="n">
        <v>3</v>
      </c>
      <c r="D207" s="12" t="n">
        <v>1</v>
      </c>
      <c r="E207" s="12" t="inlineStr">
        <is>
          <t>+2</t>
        </is>
      </c>
      <c r="F207" s="12" t="n">
        <v>114</v>
      </c>
      <c r="G207" s="12" t="n">
        <v>5</v>
      </c>
      <c r="H207" s="12" t="n">
        <v>95.8</v>
      </c>
    </row>
    <row r="208">
      <c r="A208" s="8" t="inlineStr">
        <is>
          <t>Misa Esports</t>
        </is>
      </c>
      <c r="B208" s="8" t="inlineStr">
        <is>
          <t>5v4</t>
        </is>
      </c>
      <c r="C208" s="8" t="n">
        <v>5</v>
      </c>
      <c r="D208" s="8" t="n">
        <v>4</v>
      </c>
      <c r="E208" s="8" t="inlineStr">
        <is>
          <t>+1</t>
        </is>
      </c>
      <c r="F208" s="8" t="n">
        <v>197</v>
      </c>
      <c r="G208" s="8" t="n">
        <v>58</v>
      </c>
      <c r="H208" s="8" t="n">
        <v>77.25</v>
      </c>
    </row>
    <row r="209">
      <c r="A209" s="12" t="inlineStr">
        <is>
          <t>Misa Esports</t>
        </is>
      </c>
      <c r="B209" s="12" t="inlineStr">
        <is>
          <t>4v3</t>
        </is>
      </c>
      <c r="C209" s="12" t="n">
        <v>4</v>
      </c>
      <c r="D209" s="12" t="n">
        <v>3</v>
      </c>
      <c r="E209" s="12" t="inlineStr">
        <is>
          <t>+1</t>
        </is>
      </c>
      <c r="F209" s="12" t="n">
        <v>140</v>
      </c>
      <c r="G209" s="12" t="n">
        <v>41</v>
      </c>
      <c r="H209" s="12" t="n">
        <v>77.34999999999999</v>
      </c>
    </row>
    <row r="210">
      <c r="A210" s="8" t="inlineStr">
        <is>
          <t>Misa Esports</t>
        </is>
      </c>
      <c r="B210" s="8" t="inlineStr">
        <is>
          <t>3v2</t>
        </is>
      </c>
      <c r="C210" s="8" t="n">
        <v>3</v>
      </c>
      <c r="D210" s="8" t="n">
        <v>2</v>
      </c>
      <c r="E210" s="8" t="inlineStr">
        <is>
          <t>+1</t>
        </is>
      </c>
      <c r="F210" s="8" t="n">
        <v>121</v>
      </c>
      <c r="G210" s="8" t="n">
        <v>24</v>
      </c>
      <c r="H210" s="8" t="n">
        <v>83.45</v>
      </c>
    </row>
    <row r="211">
      <c r="A211" s="12" t="inlineStr">
        <is>
          <t>Misa Esports</t>
        </is>
      </c>
      <c r="B211" s="12" t="inlineStr">
        <is>
          <t>2v1</t>
        </is>
      </c>
      <c r="C211" s="12" t="n">
        <v>2</v>
      </c>
      <c r="D211" s="12" t="n">
        <v>1</v>
      </c>
      <c r="E211" s="12" t="inlineStr">
        <is>
          <t>+1</t>
        </is>
      </c>
      <c r="F211" s="12" t="n">
        <v>94</v>
      </c>
      <c r="G211" s="12" t="n">
        <v>14</v>
      </c>
      <c r="H211" s="12" t="n">
        <v>87.04000000000001</v>
      </c>
    </row>
    <row r="212">
      <c r="A212" s="8" t="inlineStr">
        <is>
          <t>Misa Esports</t>
        </is>
      </c>
      <c r="B212" s="8" t="inlineStr">
        <is>
          <t>5v5</t>
        </is>
      </c>
      <c r="C212" s="8" t="n">
        <v>5</v>
      </c>
      <c r="D212" s="8" t="n">
        <v>5</v>
      </c>
      <c r="E212" s="8" t="inlineStr">
        <is>
          <t>0</t>
        </is>
      </c>
      <c r="F212" s="8" t="n">
        <v>277</v>
      </c>
      <c r="G212" s="8" t="n">
        <v>220</v>
      </c>
      <c r="H212" s="8" t="n">
        <v>55.73</v>
      </c>
    </row>
    <row r="213">
      <c r="A213" s="12" t="inlineStr">
        <is>
          <t>Misa Esports</t>
        </is>
      </c>
      <c r="B213" s="12" t="inlineStr">
        <is>
          <t>4v4</t>
        </is>
      </c>
      <c r="C213" s="12" t="n">
        <v>4</v>
      </c>
      <c r="D213" s="12" t="n">
        <v>4</v>
      </c>
      <c r="E213" s="12" t="inlineStr">
        <is>
          <t>0</t>
        </is>
      </c>
      <c r="F213" s="12" t="n">
        <v>139</v>
      </c>
      <c r="G213" s="12" t="n">
        <v>103</v>
      </c>
      <c r="H213" s="12" t="n">
        <v>57.44</v>
      </c>
    </row>
    <row r="214">
      <c r="A214" s="8" t="inlineStr">
        <is>
          <t>Misa Esports</t>
        </is>
      </c>
      <c r="B214" s="8" t="inlineStr">
        <is>
          <t>3v3</t>
        </is>
      </c>
      <c r="C214" s="8" t="n">
        <v>3</v>
      </c>
      <c r="D214" s="8" t="n">
        <v>3</v>
      </c>
      <c r="E214" s="8" t="inlineStr">
        <is>
          <t>0</t>
        </is>
      </c>
      <c r="F214" s="8" t="n">
        <v>106</v>
      </c>
      <c r="G214" s="8" t="n">
        <v>76</v>
      </c>
      <c r="H214" s="8" t="n">
        <v>58.24</v>
      </c>
    </row>
    <row r="215">
      <c r="A215" s="12" t="inlineStr">
        <is>
          <t>Misa Esports</t>
        </is>
      </c>
      <c r="B215" s="12" t="inlineStr">
        <is>
          <t>2v2</t>
        </is>
      </c>
      <c r="C215" s="12" t="n">
        <v>2</v>
      </c>
      <c r="D215" s="12" t="n">
        <v>2</v>
      </c>
      <c r="E215" s="12" t="inlineStr">
        <is>
          <t>0</t>
        </is>
      </c>
      <c r="F215" s="12" t="n">
        <v>69</v>
      </c>
      <c r="G215" s="12" t="n">
        <v>43</v>
      </c>
      <c r="H215" s="12" t="n">
        <v>61.61</v>
      </c>
    </row>
    <row r="216">
      <c r="A216" s="8" t="inlineStr">
        <is>
          <t>Misa Esports</t>
        </is>
      </c>
      <c r="B216" s="8" t="inlineStr">
        <is>
          <t>1v1</t>
        </is>
      </c>
      <c r="C216" s="8" t="n">
        <v>1</v>
      </c>
      <c r="D216" s="8" t="n">
        <v>1</v>
      </c>
      <c r="E216" s="8" t="inlineStr">
        <is>
          <t>0</t>
        </is>
      </c>
      <c r="F216" s="8" t="n">
        <v>52</v>
      </c>
      <c r="G216" s="8" t="n">
        <v>38</v>
      </c>
      <c r="H216" s="8" t="n">
        <v>57.78</v>
      </c>
    </row>
    <row r="217">
      <c r="A217" s="12" t="inlineStr">
        <is>
          <t>Misa Esports</t>
        </is>
      </c>
      <c r="B217" s="12" t="inlineStr">
        <is>
          <t>4v5</t>
        </is>
      </c>
      <c r="C217" s="12" t="n">
        <v>4</v>
      </c>
      <c r="D217" s="12" t="n">
        <v>5</v>
      </c>
      <c r="E217" s="12" t="inlineStr">
        <is>
          <t>-1</t>
        </is>
      </c>
      <c r="F217" s="12" t="n">
        <v>80</v>
      </c>
      <c r="G217" s="12" t="n">
        <v>162</v>
      </c>
      <c r="H217" s="12" t="n">
        <v>33.06</v>
      </c>
    </row>
    <row r="218">
      <c r="A218" s="8" t="inlineStr">
        <is>
          <t>Misa Esports</t>
        </is>
      </c>
      <c r="B218" s="8" t="inlineStr">
        <is>
          <t>3v4</t>
        </is>
      </c>
      <c r="C218" s="8" t="n">
        <v>3</v>
      </c>
      <c r="D218" s="8" t="n">
        <v>4</v>
      </c>
      <c r="E218" s="8" t="inlineStr">
        <is>
          <t>-1</t>
        </is>
      </c>
      <c r="F218" s="8" t="n">
        <v>63</v>
      </c>
      <c r="G218" s="8" t="n">
        <v>102</v>
      </c>
      <c r="H218" s="8" t="n">
        <v>38.18</v>
      </c>
    </row>
    <row r="219">
      <c r="A219" s="12" t="inlineStr">
        <is>
          <t>Misa Esports</t>
        </is>
      </c>
      <c r="B219" s="12" t="inlineStr">
        <is>
          <t>2v3</t>
        </is>
      </c>
      <c r="C219" s="12" t="n">
        <v>2</v>
      </c>
      <c r="D219" s="12" t="n">
        <v>3</v>
      </c>
      <c r="E219" s="12" t="inlineStr">
        <is>
          <t>-1</t>
        </is>
      </c>
      <c r="F219" s="12" t="n">
        <v>40</v>
      </c>
      <c r="G219" s="12" t="n">
        <v>98</v>
      </c>
      <c r="H219" s="12" t="n">
        <v>28.99</v>
      </c>
    </row>
    <row r="220">
      <c r="A220" s="8" t="inlineStr">
        <is>
          <t>Misa Esports</t>
        </is>
      </c>
      <c r="B220" s="8" t="inlineStr">
        <is>
          <t>1v2</t>
        </is>
      </c>
      <c r="C220" s="8" t="n">
        <v>1</v>
      </c>
      <c r="D220" s="8" t="n">
        <v>2</v>
      </c>
      <c r="E220" s="8" t="inlineStr">
        <is>
          <t>-1</t>
        </is>
      </c>
      <c r="F220" s="8" t="n">
        <v>20</v>
      </c>
      <c r="G220" s="8" t="n">
        <v>71</v>
      </c>
      <c r="H220" s="8" t="n">
        <v>21.98</v>
      </c>
    </row>
    <row r="221">
      <c r="A221" s="12" t="inlineStr">
        <is>
          <t>Misa Esports</t>
        </is>
      </c>
      <c r="B221" s="12" t="inlineStr">
        <is>
          <t>3v5</t>
        </is>
      </c>
      <c r="C221" s="12" t="n">
        <v>3</v>
      </c>
      <c r="D221" s="12" t="n">
        <v>5</v>
      </c>
      <c r="E221" s="12" t="inlineStr">
        <is>
          <t>-2</t>
        </is>
      </c>
      <c r="F221" s="12" t="n">
        <v>21</v>
      </c>
      <c r="G221" s="12" t="n">
        <v>108</v>
      </c>
      <c r="H221" s="12" t="n">
        <v>16.28</v>
      </c>
    </row>
    <row r="222">
      <c r="A222" s="8" t="inlineStr">
        <is>
          <t>Misa Esports</t>
        </is>
      </c>
      <c r="B222" s="8" t="inlineStr">
        <is>
          <t>2v4</t>
        </is>
      </c>
      <c r="C222" s="8" t="n">
        <v>2</v>
      </c>
      <c r="D222" s="8" t="n">
        <v>4</v>
      </c>
      <c r="E222" s="8" t="inlineStr">
        <is>
          <t>-2</t>
        </is>
      </c>
      <c r="F222" s="8" t="n">
        <v>12</v>
      </c>
      <c r="G222" s="8" t="n">
        <v>91</v>
      </c>
      <c r="H222" s="8" t="n">
        <v>11.65</v>
      </c>
    </row>
    <row r="223">
      <c r="A223" s="12" t="inlineStr">
        <is>
          <t>Misa Esports</t>
        </is>
      </c>
      <c r="B223" s="12" t="inlineStr">
        <is>
          <t>1v3</t>
        </is>
      </c>
      <c r="C223" s="12" t="n">
        <v>1</v>
      </c>
      <c r="D223" s="12" t="n">
        <v>3</v>
      </c>
      <c r="E223" s="12" t="inlineStr">
        <is>
          <t>-2</t>
        </is>
      </c>
      <c r="F223" s="12" t="n">
        <v>5</v>
      </c>
      <c r="G223" s="12" t="n">
        <v>102</v>
      </c>
      <c r="H223" s="12" t="n">
        <v>4.67</v>
      </c>
    </row>
    <row r="224">
      <c r="A224" s="8" t="inlineStr">
        <is>
          <t>Misa Esports</t>
        </is>
      </c>
      <c r="B224" s="8" t="inlineStr">
        <is>
          <t>2v5</t>
        </is>
      </c>
      <c r="C224" s="8" t="n">
        <v>2</v>
      </c>
      <c r="D224" s="8" t="n">
        <v>5</v>
      </c>
      <c r="E224" s="8" t="inlineStr">
        <is>
          <t>-3</t>
        </is>
      </c>
      <c r="F224" s="8" t="n">
        <v>2</v>
      </c>
      <c r="G224" s="8" t="n">
        <v>70</v>
      </c>
      <c r="H224" s="8" t="n">
        <v>2.78</v>
      </c>
    </row>
    <row r="225">
      <c r="A225" s="12" t="inlineStr">
        <is>
          <t>Misa Esports</t>
        </is>
      </c>
      <c r="B225" s="12" t="inlineStr">
        <is>
          <t>1v4</t>
        </is>
      </c>
      <c r="C225" s="12" t="n">
        <v>1</v>
      </c>
      <c r="D225" s="12" t="n">
        <v>4</v>
      </c>
      <c r="E225" s="12" t="inlineStr">
        <is>
          <t>-3</t>
        </is>
      </c>
      <c r="F225" s="12" t="n">
        <v>1</v>
      </c>
      <c r="G225" s="12" t="n">
        <v>64</v>
      </c>
      <c r="H225" s="12" t="n">
        <v>1.54</v>
      </c>
    </row>
    <row r="226">
      <c r="A226" s="8" t="inlineStr">
        <is>
          <t>Misa Esports</t>
        </is>
      </c>
      <c r="B226" s="8" t="inlineStr">
        <is>
          <t>1v5</t>
        </is>
      </c>
      <c r="C226" s="8" t="n">
        <v>1</v>
      </c>
      <c r="D226" s="8" t="n">
        <v>5</v>
      </c>
      <c r="E226" s="8" t="inlineStr">
        <is>
          <t>-4</t>
        </is>
      </c>
      <c r="F226" s="8" t="n">
        <v>0</v>
      </c>
      <c r="G226" s="8" t="n">
        <v>38</v>
      </c>
      <c r="H226" s="8" t="n">
        <v>0</v>
      </c>
    </row>
    <row r="227">
      <c r="A227" s="12" t="inlineStr">
        <is>
          <t>Pixel Lumina</t>
        </is>
      </c>
      <c r="B227" s="12" t="inlineStr">
        <is>
          <t>5v1</t>
        </is>
      </c>
      <c r="C227" s="12" t="n">
        <v>5</v>
      </c>
      <c r="D227" s="12" t="n">
        <v>1</v>
      </c>
      <c r="E227" s="12" t="inlineStr">
        <is>
          <t>+4</t>
        </is>
      </c>
      <c r="F227" s="12" t="n">
        <v>19</v>
      </c>
      <c r="G227" s="12" t="n">
        <v>0</v>
      </c>
      <c r="H227" s="12" t="n">
        <v>100</v>
      </c>
    </row>
    <row r="228">
      <c r="A228" s="8" t="inlineStr">
        <is>
          <t>Pixel Lumina</t>
        </is>
      </c>
      <c r="B228" s="8" t="inlineStr">
        <is>
          <t>5v2</t>
        </is>
      </c>
      <c r="C228" s="8" t="n">
        <v>5</v>
      </c>
      <c r="D228" s="8" t="n">
        <v>2</v>
      </c>
      <c r="E228" s="8" t="inlineStr">
        <is>
          <t>+3</t>
        </is>
      </c>
      <c r="F228" s="8" t="n">
        <v>28</v>
      </c>
      <c r="G228" s="8" t="n">
        <v>0</v>
      </c>
      <c r="H228" s="8" t="n">
        <v>100</v>
      </c>
    </row>
    <row r="229">
      <c r="A229" s="12" t="inlineStr">
        <is>
          <t>Pixel Lumina</t>
        </is>
      </c>
      <c r="B229" s="12" t="inlineStr">
        <is>
          <t>4v1</t>
        </is>
      </c>
      <c r="C229" s="12" t="n">
        <v>4</v>
      </c>
      <c r="D229" s="12" t="n">
        <v>1</v>
      </c>
      <c r="E229" s="12" t="inlineStr">
        <is>
          <t>+3</t>
        </is>
      </c>
      <c r="F229" s="12" t="n">
        <v>43</v>
      </c>
      <c r="G229" s="12" t="n">
        <v>0</v>
      </c>
      <c r="H229" s="12" t="n">
        <v>100</v>
      </c>
    </row>
    <row r="230">
      <c r="A230" s="8" t="inlineStr">
        <is>
          <t>Pixel Lumina</t>
        </is>
      </c>
      <c r="B230" s="8" t="inlineStr">
        <is>
          <t>5v3</t>
        </is>
      </c>
      <c r="C230" s="8" t="n">
        <v>5</v>
      </c>
      <c r="D230" s="8" t="n">
        <v>3</v>
      </c>
      <c r="E230" s="8" t="inlineStr">
        <is>
          <t>+2</t>
        </is>
      </c>
      <c r="F230" s="8" t="n">
        <v>58</v>
      </c>
      <c r="G230" s="8" t="n">
        <v>7</v>
      </c>
      <c r="H230" s="8" t="n">
        <v>89.23</v>
      </c>
    </row>
    <row r="231">
      <c r="A231" s="12" t="inlineStr">
        <is>
          <t>Pixel Lumina</t>
        </is>
      </c>
      <c r="B231" s="12" t="inlineStr">
        <is>
          <t>4v2</t>
        </is>
      </c>
      <c r="C231" s="12" t="n">
        <v>4</v>
      </c>
      <c r="D231" s="12" t="n">
        <v>2</v>
      </c>
      <c r="E231" s="12" t="inlineStr">
        <is>
          <t>+2</t>
        </is>
      </c>
      <c r="F231" s="12" t="n">
        <v>57</v>
      </c>
      <c r="G231" s="12" t="n">
        <v>3</v>
      </c>
      <c r="H231" s="12" t="n">
        <v>95</v>
      </c>
    </row>
    <row r="232">
      <c r="A232" s="8" t="inlineStr">
        <is>
          <t>Pixel Lumina</t>
        </is>
      </c>
      <c r="B232" s="8" t="inlineStr">
        <is>
          <t>3v1</t>
        </is>
      </c>
      <c r="C232" s="8" t="n">
        <v>3</v>
      </c>
      <c r="D232" s="8" t="n">
        <v>1</v>
      </c>
      <c r="E232" s="8" t="inlineStr">
        <is>
          <t>+2</t>
        </is>
      </c>
      <c r="F232" s="8" t="n">
        <v>50</v>
      </c>
      <c r="G232" s="8" t="n">
        <v>1</v>
      </c>
      <c r="H232" s="8" t="n">
        <v>98.04000000000001</v>
      </c>
    </row>
    <row r="233">
      <c r="A233" s="12" t="inlineStr">
        <is>
          <t>Pixel Lumina</t>
        </is>
      </c>
      <c r="B233" s="12" t="inlineStr">
        <is>
          <t>5v4</t>
        </is>
      </c>
      <c r="C233" s="12" t="n">
        <v>5</v>
      </c>
      <c r="D233" s="12" t="n">
        <v>4</v>
      </c>
      <c r="E233" s="12" t="inlineStr">
        <is>
          <t>+1</t>
        </is>
      </c>
      <c r="F233" s="12" t="n">
        <v>93</v>
      </c>
      <c r="G233" s="12" t="n">
        <v>35</v>
      </c>
      <c r="H233" s="12" t="n">
        <v>72.66</v>
      </c>
    </row>
    <row r="234">
      <c r="A234" s="8" t="inlineStr">
        <is>
          <t>Pixel Lumina</t>
        </is>
      </c>
      <c r="B234" s="8" t="inlineStr">
        <is>
          <t>4v3</t>
        </is>
      </c>
      <c r="C234" s="8" t="n">
        <v>4</v>
      </c>
      <c r="D234" s="8" t="n">
        <v>3</v>
      </c>
      <c r="E234" s="8" t="inlineStr">
        <is>
          <t>+1</t>
        </is>
      </c>
      <c r="F234" s="8" t="n">
        <v>75</v>
      </c>
      <c r="G234" s="8" t="n">
        <v>25</v>
      </c>
      <c r="H234" s="8" t="n">
        <v>75</v>
      </c>
    </row>
    <row r="235">
      <c r="A235" s="12" t="inlineStr">
        <is>
          <t>Pixel Lumina</t>
        </is>
      </c>
      <c r="B235" s="12" t="inlineStr">
        <is>
          <t>3v2</t>
        </is>
      </c>
      <c r="C235" s="12" t="n">
        <v>3</v>
      </c>
      <c r="D235" s="12" t="n">
        <v>2</v>
      </c>
      <c r="E235" s="12" t="inlineStr">
        <is>
          <t>+1</t>
        </is>
      </c>
      <c r="F235" s="12" t="n">
        <v>50</v>
      </c>
      <c r="G235" s="12" t="n">
        <v>16</v>
      </c>
      <c r="H235" s="12" t="n">
        <v>75.76000000000001</v>
      </c>
    </row>
    <row r="236">
      <c r="A236" s="8" t="inlineStr">
        <is>
          <t>Pixel Lumina</t>
        </is>
      </c>
      <c r="B236" s="8" t="inlineStr">
        <is>
          <t>2v1</t>
        </is>
      </c>
      <c r="C236" s="8" t="n">
        <v>2</v>
      </c>
      <c r="D236" s="8" t="n">
        <v>1</v>
      </c>
      <c r="E236" s="8" t="inlineStr">
        <is>
          <t>+1</t>
        </is>
      </c>
      <c r="F236" s="8" t="n">
        <v>43</v>
      </c>
      <c r="G236" s="8" t="n">
        <v>6</v>
      </c>
      <c r="H236" s="8" t="n">
        <v>87.76000000000001</v>
      </c>
    </row>
    <row r="237">
      <c r="A237" s="12" t="inlineStr">
        <is>
          <t>Pixel Lumina</t>
        </is>
      </c>
      <c r="B237" s="12" t="inlineStr">
        <is>
          <t>5v5</t>
        </is>
      </c>
      <c r="C237" s="12" t="n">
        <v>5</v>
      </c>
      <c r="D237" s="12" t="n">
        <v>5</v>
      </c>
      <c r="E237" s="12" t="inlineStr">
        <is>
          <t>0</t>
        </is>
      </c>
      <c r="F237" s="12" t="n">
        <v>122</v>
      </c>
      <c r="G237" s="12" t="n">
        <v>133</v>
      </c>
      <c r="H237" s="12" t="n">
        <v>47.84</v>
      </c>
    </row>
    <row r="238">
      <c r="A238" s="8" t="inlineStr">
        <is>
          <t>Pixel Lumina</t>
        </is>
      </c>
      <c r="B238" s="8" t="inlineStr">
        <is>
          <t>4v4</t>
        </is>
      </c>
      <c r="C238" s="8" t="n">
        <v>4</v>
      </c>
      <c r="D238" s="8" t="n">
        <v>4</v>
      </c>
      <c r="E238" s="8" t="inlineStr">
        <is>
          <t>0</t>
        </is>
      </c>
      <c r="F238" s="8" t="n">
        <v>58</v>
      </c>
      <c r="G238" s="8" t="n">
        <v>59</v>
      </c>
      <c r="H238" s="8" t="n">
        <v>49.57</v>
      </c>
    </row>
    <row r="239">
      <c r="A239" s="12" t="inlineStr">
        <is>
          <t>Pixel Lumina</t>
        </is>
      </c>
      <c r="B239" s="12" t="inlineStr">
        <is>
          <t>3v3</t>
        </is>
      </c>
      <c r="C239" s="12" t="n">
        <v>3</v>
      </c>
      <c r="D239" s="12" t="n">
        <v>3</v>
      </c>
      <c r="E239" s="12" t="inlineStr">
        <is>
          <t>0</t>
        </is>
      </c>
      <c r="F239" s="12" t="n">
        <v>39</v>
      </c>
      <c r="G239" s="12" t="n">
        <v>42</v>
      </c>
      <c r="H239" s="12" t="n">
        <v>48.15</v>
      </c>
    </row>
    <row r="240">
      <c r="A240" s="8" t="inlineStr">
        <is>
          <t>Pixel Lumina</t>
        </is>
      </c>
      <c r="B240" s="8" t="inlineStr">
        <is>
          <t>2v2</t>
        </is>
      </c>
      <c r="C240" s="8" t="n">
        <v>2</v>
      </c>
      <c r="D240" s="8" t="n">
        <v>2</v>
      </c>
      <c r="E240" s="8" t="inlineStr">
        <is>
          <t>0</t>
        </is>
      </c>
      <c r="F240" s="8" t="n">
        <v>31</v>
      </c>
      <c r="G240" s="8" t="n">
        <v>28</v>
      </c>
      <c r="H240" s="8" t="n">
        <v>52.54</v>
      </c>
    </row>
    <row r="241">
      <c r="A241" s="12" t="inlineStr">
        <is>
          <t>Pixel Lumina</t>
        </is>
      </c>
      <c r="B241" s="12" t="inlineStr">
        <is>
          <t>1v1</t>
        </is>
      </c>
      <c r="C241" s="12" t="n">
        <v>1</v>
      </c>
      <c r="D241" s="12" t="n">
        <v>1</v>
      </c>
      <c r="E241" s="12" t="inlineStr">
        <is>
          <t>0</t>
        </is>
      </c>
      <c r="F241" s="12" t="n">
        <v>22</v>
      </c>
      <c r="G241" s="12" t="n">
        <v>15</v>
      </c>
      <c r="H241" s="12" t="n">
        <v>59.46</v>
      </c>
    </row>
    <row r="242">
      <c r="A242" s="8" t="inlineStr">
        <is>
          <t>Pixel Lumina</t>
        </is>
      </c>
      <c r="B242" s="8" t="inlineStr">
        <is>
          <t>4v5</t>
        </is>
      </c>
      <c r="C242" s="8" t="n">
        <v>4</v>
      </c>
      <c r="D242" s="8" t="n">
        <v>5</v>
      </c>
      <c r="E242" s="8" t="inlineStr">
        <is>
          <t>-1</t>
        </is>
      </c>
      <c r="F242" s="8" t="n">
        <v>29</v>
      </c>
      <c r="G242" s="8" t="n">
        <v>98</v>
      </c>
      <c r="H242" s="8" t="n">
        <v>22.83</v>
      </c>
    </row>
    <row r="243">
      <c r="A243" s="12" t="inlineStr">
        <is>
          <t>Pixel Lumina</t>
        </is>
      </c>
      <c r="B243" s="12" t="inlineStr">
        <is>
          <t>3v4</t>
        </is>
      </c>
      <c r="C243" s="12" t="n">
        <v>3</v>
      </c>
      <c r="D243" s="12" t="n">
        <v>4</v>
      </c>
      <c r="E243" s="12" t="inlineStr">
        <is>
          <t>-1</t>
        </is>
      </c>
      <c r="F243" s="12" t="n">
        <v>18</v>
      </c>
      <c r="G243" s="12" t="n">
        <v>68</v>
      </c>
      <c r="H243" s="12" t="n">
        <v>20.93</v>
      </c>
    </row>
    <row r="244">
      <c r="A244" s="8" t="inlineStr">
        <is>
          <t>Pixel Lumina</t>
        </is>
      </c>
      <c r="B244" s="8" t="inlineStr">
        <is>
          <t>2v3</t>
        </is>
      </c>
      <c r="C244" s="8" t="n">
        <v>2</v>
      </c>
      <c r="D244" s="8" t="n">
        <v>3</v>
      </c>
      <c r="E244" s="8" t="inlineStr">
        <is>
          <t>-1</t>
        </is>
      </c>
      <c r="F244" s="8" t="n">
        <v>16</v>
      </c>
      <c r="G244" s="8" t="n">
        <v>52</v>
      </c>
      <c r="H244" s="8" t="n">
        <v>23.53</v>
      </c>
    </row>
    <row r="245">
      <c r="A245" s="12" t="inlineStr">
        <is>
          <t>Pixel Lumina</t>
        </is>
      </c>
      <c r="B245" s="12" t="inlineStr">
        <is>
          <t>1v2</t>
        </is>
      </c>
      <c r="C245" s="12" t="n">
        <v>1</v>
      </c>
      <c r="D245" s="12" t="n">
        <v>2</v>
      </c>
      <c r="E245" s="12" t="inlineStr">
        <is>
          <t>-1</t>
        </is>
      </c>
      <c r="F245" s="12" t="n">
        <v>7</v>
      </c>
      <c r="G245" s="12" t="n">
        <v>42</v>
      </c>
      <c r="H245" s="12" t="n">
        <v>14.29</v>
      </c>
    </row>
    <row r="246">
      <c r="A246" s="8" t="inlineStr">
        <is>
          <t>Pixel Lumina</t>
        </is>
      </c>
      <c r="B246" s="8" t="inlineStr">
        <is>
          <t>3v5</t>
        </is>
      </c>
      <c r="C246" s="8" t="n">
        <v>3</v>
      </c>
      <c r="D246" s="8" t="n">
        <v>5</v>
      </c>
      <c r="E246" s="8" t="inlineStr">
        <is>
          <t>-2</t>
        </is>
      </c>
      <c r="F246" s="8" t="n">
        <v>6</v>
      </c>
      <c r="G246" s="8" t="n">
        <v>67</v>
      </c>
      <c r="H246" s="8" t="n">
        <v>8.220000000000001</v>
      </c>
    </row>
    <row r="247">
      <c r="A247" s="12" t="inlineStr">
        <is>
          <t>Pixel Lumina</t>
        </is>
      </c>
      <c r="B247" s="12" t="inlineStr">
        <is>
          <t>2v4</t>
        </is>
      </c>
      <c r="C247" s="12" t="n">
        <v>2</v>
      </c>
      <c r="D247" s="12" t="n">
        <v>4</v>
      </c>
      <c r="E247" s="12" t="inlineStr">
        <is>
          <t>-2</t>
        </is>
      </c>
      <c r="F247" s="12" t="n">
        <v>5</v>
      </c>
      <c r="G247" s="12" t="n">
        <v>58</v>
      </c>
      <c r="H247" s="12" t="n">
        <v>7.94</v>
      </c>
    </row>
    <row r="248">
      <c r="A248" s="8" t="inlineStr">
        <is>
          <t>Pixel Lumina</t>
        </is>
      </c>
      <c r="B248" s="8" t="inlineStr">
        <is>
          <t>1v3</t>
        </is>
      </c>
      <c r="C248" s="8" t="n">
        <v>1</v>
      </c>
      <c r="D248" s="8" t="n">
        <v>3</v>
      </c>
      <c r="E248" s="8" t="inlineStr">
        <is>
          <t>-2</t>
        </is>
      </c>
      <c r="F248" s="8" t="n">
        <v>1</v>
      </c>
      <c r="G248" s="8" t="n">
        <v>54</v>
      </c>
      <c r="H248" s="8" t="n">
        <v>1.82</v>
      </c>
    </row>
    <row r="249">
      <c r="A249" s="12" t="inlineStr">
        <is>
          <t>Pixel Lumina</t>
        </is>
      </c>
      <c r="B249" s="12" t="inlineStr">
        <is>
          <t>2v5</t>
        </is>
      </c>
      <c r="C249" s="12" t="n">
        <v>2</v>
      </c>
      <c r="D249" s="12" t="n">
        <v>5</v>
      </c>
      <c r="E249" s="12" t="inlineStr">
        <is>
          <t>-3</t>
        </is>
      </c>
      <c r="F249" s="12" t="n">
        <v>1</v>
      </c>
      <c r="G249" s="12" t="n">
        <v>40</v>
      </c>
      <c r="H249" s="12" t="n">
        <v>2.44</v>
      </c>
    </row>
    <row r="250">
      <c r="A250" s="8" t="inlineStr">
        <is>
          <t>Pixel Lumina</t>
        </is>
      </c>
      <c r="B250" s="8" t="inlineStr">
        <is>
          <t>1v4</t>
        </is>
      </c>
      <c r="C250" s="8" t="n">
        <v>1</v>
      </c>
      <c r="D250" s="8" t="n">
        <v>4</v>
      </c>
      <c r="E250" s="8" t="inlineStr">
        <is>
          <t>-3</t>
        </is>
      </c>
      <c r="F250" s="8" t="n">
        <v>0</v>
      </c>
      <c r="G250" s="8" t="n">
        <v>48</v>
      </c>
      <c r="H250" s="8" t="n">
        <v>0</v>
      </c>
    </row>
    <row r="251">
      <c r="A251" s="12" t="inlineStr">
        <is>
          <t>Pixel Lumina</t>
        </is>
      </c>
      <c r="B251" s="12" t="inlineStr">
        <is>
          <t>1v5</t>
        </is>
      </c>
      <c r="C251" s="12" t="n">
        <v>1</v>
      </c>
      <c r="D251" s="12" t="n">
        <v>5</v>
      </c>
      <c r="E251" s="12" t="inlineStr">
        <is>
          <t>-4</t>
        </is>
      </c>
      <c r="F251" s="12" t="n">
        <v>0</v>
      </c>
      <c r="G251" s="12" t="n">
        <v>29</v>
      </c>
      <c r="H251" s="12" t="n">
        <v>0</v>
      </c>
    </row>
    <row r="252">
      <c r="A252" s="8" t="inlineStr">
        <is>
          <t>S2G Esports</t>
        </is>
      </c>
      <c r="B252" s="8" t="inlineStr">
        <is>
          <t>5v1</t>
        </is>
      </c>
      <c r="C252" s="8" t="n">
        <v>5</v>
      </c>
      <c r="D252" s="8" t="n">
        <v>1</v>
      </c>
      <c r="E252" s="8" t="inlineStr">
        <is>
          <t>+4</t>
        </is>
      </c>
      <c r="F252" s="8" t="n">
        <v>59</v>
      </c>
      <c r="G252" s="8" t="n">
        <v>0</v>
      </c>
      <c r="H252" s="8" t="n">
        <v>100</v>
      </c>
    </row>
    <row r="253">
      <c r="A253" s="12" t="inlineStr">
        <is>
          <t>S2G Esports</t>
        </is>
      </c>
      <c r="B253" s="12" t="inlineStr">
        <is>
          <t>5v2</t>
        </is>
      </c>
      <c r="C253" s="12" t="n">
        <v>5</v>
      </c>
      <c r="D253" s="12" t="n">
        <v>2</v>
      </c>
      <c r="E253" s="12" t="inlineStr">
        <is>
          <t>+3</t>
        </is>
      </c>
      <c r="F253" s="12" t="n">
        <v>100</v>
      </c>
      <c r="G253" s="12" t="n">
        <v>3</v>
      </c>
      <c r="H253" s="12" t="n">
        <v>97.09</v>
      </c>
    </row>
    <row r="254">
      <c r="A254" s="8" t="inlineStr">
        <is>
          <t>S2G Esports</t>
        </is>
      </c>
      <c r="B254" s="8" t="inlineStr">
        <is>
          <t>4v1</t>
        </is>
      </c>
      <c r="C254" s="8" t="n">
        <v>4</v>
      </c>
      <c r="D254" s="8" t="n">
        <v>1</v>
      </c>
      <c r="E254" s="8" t="inlineStr">
        <is>
          <t>+3</t>
        </is>
      </c>
      <c r="F254" s="8" t="n">
        <v>92</v>
      </c>
      <c r="G254" s="8" t="n">
        <v>1</v>
      </c>
      <c r="H254" s="8" t="n">
        <v>98.92</v>
      </c>
    </row>
    <row r="255">
      <c r="A255" s="12" t="inlineStr">
        <is>
          <t>S2G Esports</t>
        </is>
      </c>
      <c r="B255" s="12" t="inlineStr">
        <is>
          <t>5v3</t>
        </is>
      </c>
      <c r="C255" s="12" t="n">
        <v>5</v>
      </c>
      <c r="D255" s="12" t="n">
        <v>3</v>
      </c>
      <c r="E255" s="12" t="inlineStr">
        <is>
          <t>+2</t>
        </is>
      </c>
      <c r="F255" s="12" t="n">
        <v>154</v>
      </c>
      <c r="G255" s="12" t="n">
        <v>22</v>
      </c>
      <c r="H255" s="12" t="n">
        <v>87.5</v>
      </c>
    </row>
    <row r="256">
      <c r="A256" s="8" t="inlineStr">
        <is>
          <t>S2G Esports</t>
        </is>
      </c>
      <c r="B256" s="8" t="inlineStr">
        <is>
          <t>4v2</t>
        </is>
      </c>
      <c r="C256" s="8" t="n">
        <v>4</v>
      </c>
      <c r="D256" s="8" t="n">
        <v>2</v>
      </c>
      <c r="E256" s="8" t="inlineStr">
        <is>
          <t>+2</t>
        </is>
      </c>
      <c r="F256" s="8" t="n">
        <v>134</v>
      </c>
      <c r="G256" s="8" t="n">
        <v>17</v>
      </c>
      <c r="H256" s="8" t="n">
        <v>88.73999999999999</v>
      </c>
    </row>
    <row r="257">
      <c r="A257" s="12" t="inlineStr">
        <is>
          <t>S2G Esports</t>
        </is>
      </c>
      <c r="B257" s="12" t="inlineStr">
        <is>
          <t>3v1</t>
        </is>
      </c>
      <c r="C257" s="12" t="n">
        <v>3</v>
      </c>
      <c r="D257" s="12" t="n">
        <v>1</v>
      </c>
      <c r="E257" s="12" t="inlineStr">
        <is>
          <t>+2</t>
        </is>
      </c>
      <c r="F257" s="12" t="n">
        <v>118</v>
      </c>
      <c r="G257" s="12" t="n">
        <v>5</v>
      </c>
      <c r="H257" s="12" t="n">
        <v>95.93000000000001</v>
      </c>
    </row>
    <row r="258">
      <c r="A258" s="8" t="inlineStr">
        <is>
          <t>S2G Esports</t>
        </is>
      </c>
      <c r="B258" s="8" t="inlineStr">
        <is>
          <t>5v4</t>
        </is>
      </c>
      <c r="C258" s="8" t="n">
        <v>5</v>
      </c>
      <c r="D258" s="8" t="n">
        <v>4</v>
      </c>
      <c r="E258" s="8" t="inlineStr">
        <is>
          <t>+1</t>
        </is>
      </c>
      <c r="F258" s="8" t="n">
        <v>239</v>
      </c>
      <c r="G258" s="8" t="n">
        <v>100</v>
      </c>
      <c r="H258" s="8" t="n">
        <v>70.5</v>
      </c>
    </row>
    <row r="259">
      <c r="A259" s="12" t="inlineStr">
        <is>
          <t>S2G Esports</t>
        </is>
      </c>
      <c r="B259" s="12" t="inlineStr">
        <is>
          <t>4v3</t>
        </is>
      </c>
      <c r="C259" s="12" t="n">
        <v>4</v>
      </c>
      <c r="D259" s="12" t="n">
        <v>3</v>
      </c>
      <c r="E259" s="12" t="inlineStr">
        <is>
          <t>+1</t>
        </is>
      </c>
      <c r="F259" s="12" t="n">
        <v>156</v>
      </c>
      <c r="G259" s="12" t="n">
        <v>71</v>
      </c>
      <c r="H259" s="12" t="n">
        <v>68.72</v>
      </c>
    </row>
    <row r="260">
      <c r="A260" s="8" t="inlineStr">
        <is>
          <t>S2G Esports</t>
        </is>
      </c>
      <c r="B260" s="8" t="inlineStr">
        <is>
          <t>3v2</t>
        </is>
      </c>
      <c r="C260" s="8" t="n">
        <v>3</v>
      </c>
      <c r="D260" s="8" t="n">
        <v>2</v>
      </c>
      <c r="E260" s="8" t="inlineStr">
        <is>
          <t>+1</t>
        </is>
      </c>
      <c r="F260" s="8" t="n">
        <v>129</v>
      </c>
      <c r="G260" s="8" t="n">
        <v>44</v>
      </c>
      <c r="H260" s="8" t="n">
        <v>74.56999999999999</v>
      </c>
    </row>
    <row r="261">
      <c r="A261" s="12" t="inlineStr">
        <is>
          <t>S2G Esports</t>
        </is>
      </c>
      <c r="B261" s="12" t="inlineStr">
        <is>
          <t>2v1</t>
        </is>
      </c>
      <c r="C261" s="12" t="n">
        <v>2</v>
      </c>
      <c r="D261" s="12" t="n">
        <v>1</v>
      </c>
      <c r="E261" s="12" t="inlineStr">
        <is>
          <t>+1</t>
        </is>
      </c>
      <c r="F261" s="12" t="n">
        <v>92</v>
      </c>
      <c r="G261" s="12" t="n">
        <v>23</v>
      </c>
      <c r="H261" s="12" t="n">
        <v>80</v>
      </c>
    </row>
    <row r="262">
      <c r="A262" s="8" t="inlineStr">
        <is>
          <t>S2G Esports</t>
        </is>
      </c>
      <c r="B262" s="8" t="inlineStr">
        <is>
          <t>5v5</t>
        </is>
      </c>
      <c r="C262" s="8" t="n">
        <v>5</v>
      </c>
      <c r="D262" s="8" t="n">
        <v>5</v>
      </c>
      <c r="E262" s="8" t="inlineStr">
        <is>
          <t>0</t>
        </is>
      </c>
      <c r="F262" s="8" t="n">
        <v>322</v>
      </c>
      <c r="G262" s="8" t="n">
        <v>319</v>
      </c>
      <c r="H262" s="8" t="n">
        <v>50.23</v>
      </c>
    </row>
    <row r="263">
      <c r="A263" s="12" t="inlineStr">
        <is>
          <t>S2G Esports</t>
        </is>
      </c>
      <c r="B263" s="12" t="inlineStr">
        <is>
          <t>4v4</t>
        </is>
      </c>
      <c r="C263" s="12" t="n">
        <v>4</v>
      </c>
      <c r="D263" s="12" t="n">
        <v>4</v>
      </c>
      <c r="E263" s="12" t="inlineStr">
        <is>
          <t>0</t>
        </is>
      </c>
      <c r="F263" s="12" t="n">
        <v>147</v>
      </c>
      <c r="G263" s="12" t="n">
        <v>167</v>
      </c>
      <c r="H263" s="12" t="n">
        <v>46.82</v>
      </c>
    </row>
    <row r="264">
      <c r="A264" s="8" t="inlineStr">
        <is>
          <t>S2G Esports</t>
        </is>
      </c>
      <c r="B264" s="8" t="inlineStr">
        <is>
          <t>3v3</t>
        </is>
      </c>
      <c r="C264" s="8" t="n">
        <v>3</v>
      </c>
      <c r="D264" s="8" t="n">
        <v>3</v>
      </c>
      <c r="E264" s="8" t="inlineStr">
        <is>
          <t>0</t>
        </is>
      </c>
      <c r="F264" s="8" t="n">
        <v>105</v>
      </c>
      <c r="G264" s="8" t="n">
        <v>122</v>
      </c>
      <c r="H264" s="8" t="n">
        <v>46.26</v>
      </c>
    </row>
    <row r="265">
      <c r="A265" s="12" t="inlineStr">
        <is>
          <t>S2G Esports</t>
        </is>
      </c>
      <c r="B265" s="12" t="inlineStr">
        <is>
          <t>2v2</t>
        </is>
      </c>
      <c r="C265" s="12" t="n">
        <v>2</v>
      </c>
      <c r="D265" s="12" t="n">
        <v>2</v>
      </c>
      <c r="E265" s="12" t="inlineStr">
        <is>
          <t>0</t>
        </is>
      </c>
      <c r="F265" s="12" t="n">
        <v>78</v>
      </c>
      <c r="G265" s="12" t="n">
        <v>85</v>
      </c>
      <c r="H265" s="12" t="n">
        <v>47.85</v>
      </c>
    </row>
    <row r="266">
      <c r="A266" s="8" t="inlineStr">
        <is>
          <t>S2G Esports</t>
        </is>
      </c>
      <c r="B266" s="8" t="inlineStr">
        <is>
          <t>1v1</t>
        </is>
      </c>
      <c r="C266" s="8" t="n">
        <v>1</v>
      </c>
      <c r="D266" s="8" t="n">
        <v>1</v>
      </c>
      <c r="E266" s="8" t="inlineStr">
        <is>
          <t>0</t>
        </is>
      </c>
      <c r="F266" s="8" t="n">
        <v>59</v>
      </c>
      <c r="G266" s="8" t="n">
        <v>56</v>
      </c>
      <c r="H266" s="8" t="n">
        <v>51.3</v>
      </c>
    </row>
    <row r="267">
      <c r="A267" s="12" t="inlineStr">
        <is>
          <t>S2G Esports</t>
        </is>
      </c>
      <c r="B267" s="12" t="inlineStr">
        <is>
          <t>4v5</t>
        </is>
      </c>
      <c r="C267" s="12" t="n">
        <v>4</v>
      </c>
      <c r="D267" s="12" t="n">
        <v>5</v>
      </c>
      <c r="E267" s="12" t="inlineStr">
        <is>
          <t>-1</t>
        </is>
      </c>
      <c r="F267" s="12" t="n">
        <v>80</v>
      </c>
      <c r="G267" s="12" t="n">
        <v>217</v>
      </c>
      <c r="H267" s="12" t="n">
        <v>26.94</v>
      </c>
    </row>
    <row r="268">
      <c r="A268" s="8" t="inlineStr">
        <is>
          <t>S2G Esports</t>
        </is>
      </c>
      <c r="B268" s="8" t="inlineStr">
        <is>
          <t>3v4</t>
        </is>
      </c>
      <c r="C268" s="8" t="n">
        <v>3</v>
      </c>
      <c r="D268" s="8" t="n">
        <v>4</v>
      </c>
      <c r="E268" s="8" t="inlineStr">
        <is>
          <t>-1</t>
        </is>
      </c>
      <c r="F268" s="8" t="n">
        <v>56</v>
      </c>
      <c r="G268" s="8" t="n">
        <v>165</v>
      </c>
      <c r="H268" s="8" t="n">
        <v>25.34</v>
      </c>
    </row>
    <row r="269">
      <c r="A269" s="12" t="inlineStr">
        <is>
          <t>S2G Esports</t>
        </is>
      </c>
      <c r="B269" s="12" t="inlineStr">
        <is>
          <t>2v3</t>
        </is>
      </c>
      <c r="C269" s="12" t="n">
        <v>2</v>
      </c>
      <c r="D269" s="12" t="n">
        <v>3</v>
      </c>
      <c r="E269" s="12" t="inlineStr">
        <is>
          <t>-1</t>
        </is>
      </c>
      <c r="F269" s="12" t="n">
        <v>42</v>
      </c>
      <c r="G269" s="12" t="n">
        <v>154</v>
      </c>
      <c r="H269" s="12" t="n">
        <v>21.43</v>
      </c>
    </row>
    <row r="270">
      <c r="A270" s="8" t="inlineStr">
        <is>
          <t>S2G Esports</t>
        </is>
      </c>
      <c r="B270" s="8" t="inlineStr">
        <is>
          <t>1v2</t>
        </is>
      </c>
      <c r="C270" s="8" t="n">
        <v>1</v>
      </c>
      <c r="D270" s="8" t="n">
        <v>2</v>
      </c>
      <c r="E270" s="8" t="inlineStr">
        <is>
          <t>-1</t>
        </is>
      </c>
      <c r="F270" s="8" t="n">
        <v>27</v>
      </c>
      <c r="G270" s="8" t="n">
        <v>117</v>
      </c>
      <c r="H270" s="8" t="n">
        <v>18.75</v>
      </c>
    </row>
    <row r="271">
      <c r="A271" s="12" t="inlineStr">
        <is>
          <t>S2G Esports</t>
        </is>
      </c>
      <c r="B271" s="12" t="inlineStr">
        <is>
          <t>3v5</t>
        </is>
      </c>
      <c r="C271" s="12" t="n">
        <v>3</v>
      </c>
      <c r="D271" s="12" t="n">
        <v>5</v>
      </c>
      <c r="E271" s="12" t="inlineStr">
        <is>
          <t>-2</t>
        </is>
      </c>
      <c r="F271" s="12" t="n">
        <v>18</v>
      </c>
      <c r="G271" s="12" t="n">
        <v>128</v>
      </c>
      <c r="H271" s="12" t="n">
        <v>12.33</v>
      </c>
    </row>
    <row r="272">
      <c r="A272" s="8" t="inlineStr">
        <is>
          <t>S2G Esports</t>
        </is>
      </c>
      <c r="B272" s="8" t="inlineStr">
        <is>
          <t>2v4</t>
        </is>
      </c>
      <c r="C272" s="8" t="n">
        <v>2</v>
      </c>
      <c r="D272" s="8" t="n">
        <v>4</v>
      </c>
      <c r="E272" s="8" t="inlineStr">
        <is>
          <t>-2</t>
        </is>
      </c>
      <c r="F272" s="8" t="n">
        <v>13</v>
      </c>
      <c r="G272" s="8" t="n">
        <v>139</v>
      </c>
      <c r="H272" s="8" t="n">
        <v>8.550000000000001</v>
      </c>
    </row>
    <row r="273">
      <c r="A273" s="12" t="inlineStr">
        <is>
          <t>S2G Esports</t>
        </is>
      </c>
      <c r="B273" s="12" t="inlineStr">
        <is>
          <t>1v3</t>
        </is>
      </c>
      <c r="C273" s="12" t="n">
        <v>1</v>
      </c>
      <c r="D273" s="12" t="n">
        <v>3</v>
      </c>
      <c r="E273" s="12" t="inlineStr">
        <is>
          <t>-2</t>
        </is>
      </c>
      <c r="F273" s="12" t="n">
        <v>7</v>
      </c>
      <c r="G273" s="12" t="n">
        <v>135</v>
      </c>
      <c r="H273" s="12" t="n">
        <v>4.93</v>
      </c>
    </row>
    <row r="274">
      <c r="A274" s="8" t="inlineStr">
        <is>
          <t>S2G Esports</t>
        </is>
      </c>
      <c r="B274" s="8" t="inlineStr">
        <is>
          <t>2v5</t>
        </is>
      </c>
      <c r="C274" s="8" t="n">
        <v>2</v>
      </c>
      <c r="D274" s="8" t="n">
        <v>5</v>
      </c>
      <c r="E274" s="8" t="inlineStr">
        <is>
          <t>-3</t>
        </is>
      </c>
      <c r="F274" s="8" t="n">
        <v>5</v>
      </c>
      <c r="G274" s="8" t="n">
        <v>77</v>
      </c>
      <c r="H274" s="8" t="n">
        <v>6.1</v>
      </c>
    </row>
    <row r="275">
      <c r="A275" s="12" t="inlineStr">
        <is>
          <t>S2G Esports</t>
        </is>
      </c>
      <c r="B275" s="12" t="inlineStr">
        <is>
          <t>1v4</t>
        </is>
      </c>
      <c r="C275" s="12" t="n">
        <v>1</v>
      </c>
      <c r="D275" s="12" t="n">
        <v>4</v>
      </c>
      <c r="E275" s="12" t="inlineStr">
        <is>
          <t>-3</t>
        </is>
      </c>
      <c r="F275" s="12" t="n">
        <v>0</v>
      </c>
      <c r="G275" s="12" t="n">
        <v>92</v>
      </c>
      <c r="H275" s="12" t="n">
        <v>0</v>
      </c>
    </row>
    <row r="276">
      <c r="A276" s="8" t="inlineStr">
        <is>
          <t>S2G Esports</t>
        </is>
      </c>
      <c r="B276" s="8" t="inlineStr">
        <is>
          <t>1v5</t>
        </is>
      </c>
      <c r="C276" s="8" t="n">
        <v>1</v>
      </c>
      <c r="D276" s="8" t="n">
        <v>5</v>
      </c>
      <c r="E276" s="8" t="inlineStr">
        <is>
          <t>-4</t>
        </is>
      </c>
      <c r="F276" s="8" t="n">
        <v>0</v>
      </c>
      <c r="G276" s="8" t="n">
        <v>37</v>
      </c>
      <c r="H276" s="8" t="n">
        <v>0</v>
      </c>
    </row>
    <row r="277">
      <c r="A277" s="12" t="inlineStr">
        <is>
          <t>Stallions Esports</t>
        </is>
      </c>
      <c r="B277" s="12" t="inlineStr">
        <is>
          <t>5v1</t>
        </is>
      </c>
      <c r="C277" s="12" t="n">
        <v>5</v>
      </c>
      <c r="D277" s="12" t="n">
        <v>1</v>
      </c>
      <c r="E277" s="12" t="inlineStr">
        <is>
          <t>+4</t>
        </is>
      </c>
      <c r="F277" s="12" t="n">
        <v>73</v>
      </c>
      <c r="G277" s="12" t="n">
        <v>1</v>
      </c>
      <c r="H277" s="12" t="n">
        <v>98.65000000000001</v>
      </c>
    </row>
    <row r="278">
      <c r="A278" s="8" t="inlineStr">
        <is>
          <t>Stallions Esports</t>
        </is>
      </c>
      <c r="B278" s="8" t="inlineStr">
        <is>
          <t>5v2</t>
        </is>
      </c>
      <c r="C278" s="8" t="n">
        <v>5</v>
      </c>
      <c r="D278" s="8" t="n">
        <v>2</v>
      </c>
      <c r="E278" s="8" t="inlineStr">
        <is>
          <t>+3</t>
        </is>
      </c>
      <c r="F278" s="8" t="n">
        <v>101</v>
      </c>
      <c r="G278" s="8" t="n">
        <v>2</v>
      </c>
      <c r="H278" s="8" t="n">
        <v>98.06</v>
      </c>
    </row>
    <row r="279">
      <c r="A279" s="12" t="inlineStr">
        <is>
          <t>Stallions Esports</t>
        </is>
      </c>
      <c r="B279" s="12" t="inlineStr">
        <is>
          <t>4v1</t>
        </is>
      </c>
      <c r="C279" s="12" t="n">
        <v>4</v>
      </c>
      <c r="D279" s="12" t="n">
        <v>1</v>
      </c>
      <c r="E279" s="12" t="inlineStr">
        <is>
          <t>+3</t>
        </is>
      </c>
      <c r="F279" s="12" t="n">
        <v>121</v>
      </c>
      <c r="G279" s="12" t="n">
        <v>1</v>
      </c>
      <c r="H279" s="12" t="n">
        <v>99.18000000000001</v>
      </c>
    </row>
    <row r="280">
      <c r="A280" s="8" t="inlineStr">
        <is>
          <t>Stallions Esports</t>
        </is>
      </c>
      <c r="B280" s="8" t="inlineStr">
        <is>
          <t>5v3</t>
        </is>
      </c>
      <c r="C280" s="8" t="n">
        <v>5</v>
      </c>
      <c r="D280" s="8" t="n">
        <v>3</v>
      </c>
      <c r="E280" s="8" t="inlineStr">
        <is>
          <t>+2</t>
        </is>
      </c>
      <c r="F280" s="8" t="n">
        <v>161</v>
      </c>
      <c r="G280" s="8" t="n">
        <v>11</v>
      </c>
      <c r="H280" s="8" t="n">
        <v>93.59999999999999</v>
      </c>
    </row>
    <row r="281">
      <c r="A281" s="12" t="inlineStr">
        <is>
          <t>Stallions Esports</t>
        </is>
      </c>
      <c r="B281" s="12" t="inlineStr">
        <is>
          <t>4v2</t>
        </is>
      </c>
      <c r="C281" s="12" t="n">
        <v>4</v>
      </c>
      <c r="D281" s="12" t="n">
        <v>2</v>
      </c>
      <c r="E281" s="12" t="inlineStr">
        <is>
          <t>+2</t>
        </is>
      </c>
      <c r="F281" s="12" t="n">
        <v>155</v>
      </c>
      <c r="G281" s="12" t="n">
        <v>8</v>
      </c>
      <c r="H281" s="12" t="n">
        <v>95.09</v>
      </c>
    </row>
    <row r="282">
      <c r="A282" s="8" t="inlineStr">
        <is>
          <t>Stallions Esports</t>
        </is>
      </c>
      <c r="B282" s="8" t="inlineStr">
        <is>
          <t>3v1</t>
        </is>
      </c>
      <c r="C282" s="8" t="n">
        <v>3</v>
      </c>
      <c r="D282" s="8" t="n">
        <v>1</v>
      </c>
      <c r="E282" s="8" t="inlineStr">
        <is>
          <t>+2</t>
        </is>
      </c>
      <c r="F282" s="8" t="n">
        <v>142</v>
      </c>
      <c r="G282" s="8" t="n">
        <v>4</v>
      </c>
      <c r="H282" s="8" t="n">
        <v>97.26000000000001</v>
      </c>
    </row>
    <row r="283">
      <c r="A283" s="12" t="inlineStr">
        <is>
          <t>Stallions Esports</t>
        </is>
      </c>
      <c r="B283" s="12" t="inlineStr">
        <is>
          <t>5v4</t>
        </is>
      </c>
      <c r="C283" s="12" t="n">
        <v>5</v>
      </c>
      <c r="D283" s="12" t="n">
        <v>4</v>
      </c>
      <c r="E283" s="12" t="inlineStr">
        <is>
          <t>+1</t>
        </is>
      </c>
      <c r="F283" s="12" t="n">
        <v>251</v>
      </c>
      <c r="G283" s="12" t="n">
        <v>76</v>
      </c>
      <c r="H283" s="12" t="n">
        <v>76.76000000000001</v>
      </c>
    </row>
    <row r="284">
      <c r="A284" s="8" t="inlineStr">
        <is>
          <t>Stallions Esports</t>
        </is>
      </c>
      <c r="B284" s="8" t="inlineStr">
        <is>
          <t>4v3</t>
        </is>
      </c>
      <c r="C284" s="8" t="n">
        <v>4</v>
      </c>
      <c r="D284" s="8" t="n">
        <v>3</v>
      </c>
      <c r="E284" s="8" t="inlineStr">
        <is>
          <t>+1</t>
        </is>
      </c>
      <c r="F284" s="8" t="n">
        <v>184</v>
      </c>
      <c r="G284" s="8" t="n">
        <v>57</v>
      </c>
      <c r="H284" s="8" t="n">
        <v>76.34999999999999</v>
      </c>
    </row>
    <row r="285">
      <c r="A285" s="12" t="inlineStr">
        <is>
          <t>Stallions Esports</t>
        </is>
      </c>
      <c r="B285" s="12" t="inlineStr">
        <is>
          <t>3v2</t>
        </is>
      </c>
      <c r="C285" s="12" t="n">
        <v>3</v>
      </c>
      <c r="D285" s="12" t="n">
        <v>2</v>
      </c>
      <c r="E285" s="12" t="inlineStr">
        <is>
          <t>+1</t>
        </is>
      </c>
      <c r="F285" s="12" t="n">
        <v>143</v>
      </c>
      <c r="G285" s="12" t="n">
        <v>32</v>
      </c>
      <c r="H285" s="12" t="n">
        <v>81.70999999999999</v>
      </c>
    </row>
    <row r="286">
      <c r="A286" s="8" t="inlineStr">
        <is>
          <t>Stallions Esports</t>
        </is>
      </c>
      <c r="B286" s="8" t="inlineStr">
        <is>
          <t>2v1</t>
        </is>
      </c>
      <c r="C286" s="8" t="n">
        <v>2</v>
      </c>
      <c r="D286" s="8" t="n">
        <v>1</v>
      </c>
      <c r="E286" s="8" t="inlineStr">
        <is>
          <t>+1</t>
        </is>
      </c>
      <c r="F286" s="8" t="n">
        <v>107</v>
      </c>
      <c r="G286" s="8" t="n">
        <v>20</v>
      </c>
      <c r="H286" s="8" t="n">
        <v>84.25</v>
      </c>
    </row>
    <row r="287">
      <c r="A287" s="12" t="inlineStr">
        <is>
          <t>Stallions Esports</t>
        </is>
      </c>
      <c r="B287" s="12" t="inlineStr">
        <is>
          <t>5v5</t>
        </is>
      </c>
      <c r="C287" s="12" t="n">
        <v>5</v>
      </c>
      <c r="D287" s="12" t="n">
        <v>5</v>
      </c>
      <c r="E287" s="12" t="inlineStr">
        <is>
          <t>0</t>
        </is>
      </c>
      <c r="F287" s="12" t="n">
        <v>361</v>
      </c>
      <c r="G287" s="12" t="n">
        <v>280</v>
      </c>
      <c r="H287" s="12" t="n">
        <v>56.32</v>
      </c>
    </row>
    <row r="288">
      <c r="A288" s="8" t="inlineStr">
        <is>
          <t>Stallions Esports</t>
        </is>
      </c>
      <c r="B288" s="8" t="inlineStr">
        <is>
          <t>4v4</t>
        </is>
      </c>
      <c r="C288" s="8" t="n">
        <v>4</v>
      </c>
      <c r="D288" s="8" t="n">
        <v>4</v>
      </c>
      <c r="E288" s="8" t="inlineStr">
        <is>
          <t>0</t>
        </is>
      </c>
      <c r="F288" s="8" t="n">
        <v>160</v>
      </c>
      <c r="G288" s="8" t="n">
        <v>141</v>
      </c>
      <c r="H288" s="8" t="n">
        <v>53.16</v>
      </c>
    </row>
    <row r="289">
      <c r="A289" s="12" t="inlineStr">
        <is>
          <t>Stallions Esports</t>
        </is>
      </c>
      <c r="B289" s="12" t="inlineStr">
        <is>
          <t>3v3</t>
        </is>
      </c>
      <c r="C289" s="12" t="n">
        <v>3</v>
      </c>
      <c r="D289" s="12" t="n">
        <v>3</v>
      </c>
      <c r="E289" s="12" t="inlineStr">
        <is>
          <t>0</t>
        </is>
      </c>
      <c r="F289" s="12" t="n">
        <v>98</v>
      </c>
      <c r="G289" s="12" t="n">
        <v>101</v>
      </c>
      <c r="H289" s="12" t="n">
        <v>49.25</v>
      </c>
    </row>
    <row r="290">
      <c r="A290" s="8" t="inlineStr">
        <is>
          <t>Stallions Esports</t>
        </is>
      </c>
      <c r="B290" s="8" t="inlineStr">
        <is>
          <t>2v2</t>
        </is>
      </c>
      <c r="C290" s="8" t="n">
        <v>2</v>
      </c>
      <c r="D290" s="8" t="n">
        <v>2</v>
      </c>
      <c r="E290" s="8" t="inlineStr">
        <is>
          <t>0</t>
        </is>
      </c>
      <c r="F290" s="8" t="n">
        <v>69</v>
      </c>
      <c r="G290" s="8" t="n">
        <v>83</v>
      </c>
      <c r="H290" s="8" t="n">
        <v>45.39</v>
      </c>
    </row>
    <row r="291">
      <c r="A291" s="12" t="inlineStr">
        <is>
          <t>Stallions Esports</t>
        </is>
      </c>
      <c r="B291" s="12" t="inlineStr">
        <is>
          <t>1v1</t>
        </is>
      </c>
      <c r="C291" s="12" t="n">
        <v>1</v>
      </c>
      <c r="D291" s="12" t="n">
        <v>1</v>
      </c>
      <c r="E291" s="12" t="inlineStr">
        <is>
          <t>0</t>
        </is>
      </c>
      <c r="F291" s="12" t="n">
        <v>48</v>
      </c>
      <c r="G291" s="12" t="n">
        <v>56</v>
      </c>
      <c r="H291" s="12" t="n">
        <v>46.15</v>
      </c>
    </row>
    <row r="292">
      <c r="A292" s="8" t="inlineStr">
        <is>
          <t>Stallions Esports</t>
        </is>
      </c>
      <c r="B292" s="8" t="inlineStr">
        <is>
          <t>4v5</t>
        </is>
      </c>
      <c r="C292" s="8" t="n">
        <v>4</v>
      </c>
      <c r="D292" s="8" t="n">
        <v>5</v>
      </c>
      <c r="E292" s="8" t="inlineStr">
        <is>
          <t>-1</t>
        </is>
      </c>
      <c r="F292" s="8" t="n">
        <v>88</v>
      </c>
      <c r="G292" s="8" t="n">
        <v>194</v>
      </c>
      <c r="H292" s="8" t="n">
        <v>31.21</v>
      </c>
    </row>
    <row r="293">
      <c r="A293" s="12" t="inlineStr">
        <is>
          <t>Stallions Esports</t>
        </is>
      </c>
      <c r="B293" s="12" t="inlineStr">
        <is>
          <t>3v4</t>
        </is>
      </c>
      <c r="C293" s="12" t="n">
        <v>3</v>
      </c>
      <c r="D293" s="12" t="n">
        <v>4</v>
      </c>
      <c r="E293" s="12" t="inlineStr">
        <is>
          <t>-1</t>
        </is>
      </c>
      <c r="F293" s="12" t="n">
        <v>53</v>
      </c>
      <c r="G293" s="12" t="n">
        <v>145</v>
      </c>
      <c r="H293" s="12" t="n">
        <v>26.77</v>
      </c>
    </row>
    <row r="294">
      <c r="A294" s="8" t="inlineStr">
        <is>
          <t>Stallions Esports</t>
        </is>
      </c>
      <c r="B294" s="8" t="inlineStr">
        <is>
          <t>2v3</t>
        </is>
      </c>
      <c r="C294" s="8" t="n">
        <v>2</v>
      </c>
      <c r="D294" s="8" t="n">
        <v>3</v>
      </c>
      <c r="E294" s="8" t="inlineStr">
        <is>
          <t>-1</t>
        </is>
      </c>
      <c r="F294" s="8" t="n">
        <v>29</v>
      </c>
      <c r="G294" s="8" t="n">
        <v>128</v>
      </c>
      <c r="H294" s="8" t="n">
        <v>18.47</v>
      </c>
    </row>
    <row r="295">
      <c r="A295" s="12" t="inlineStr">
        <is>
          <t>Stallions Esports</t>
        </is>
      </c>
      <c r="B295" s="12" t="inlineStr">
        <is>
          <t>1v2</t>
        </is>
      </c>
      <c r="C295" s="12" t="n">
        <v>1</v>
      </c>
      <c r="D295" s="12" t="n">
        <v>2</v>
      </c>
      <c r="E295" s="12" t="inlineStr">
        <is>
          <t>-1</t>
        </is>
      </c>
      <c r="F295" s="12" t="n">
        <v>13</v>
      </c>
      <c r="G295" s="12" t="n">
        <v>96</v>
      </c>
      <c r="H295" s="12" t="n">
        <v>11.93</v>
      </c>
    </row>
    <row r="296">
      <c r="A296" s="8" t="inlineStr">
        <is>
          <t>Stallions Esports</t>
        </is>
      </c>
      <c r="B296" s="8" t="inlineStr">
        <is>
          <t>3v5</t>
        </is>
      </c>
      <c r="C296" s="8" t="n">
        <v>3</v>
      </c>
      <c r="D296" s="8" t="n">
        <v>5</v>
      </c>
      <c r="E296" s="8" t="inlineStr">
        <is>
          <t>-2</t>
        </is>
      </c>
      <c r="F296" s="8" t="n">
        <v>18</v>
      </c>
      <c r="G296" s="8" t="n">
        <v>118</v>
      </c>
      <c r="H296" s="8" t="n">
        <v>13.24</v>
      </c>
    </row>
    <row r="297">
      <c r="A297" s="12" t="inlineStr">
        <is>
          <t>Stallions Esports</t>
        </is>
      </c>
      <c r="B297" s="12" t="inlineStr">
        <is>
          <t>2v4</t>
        </is>
      </c>
      <c r="C297" s="12" t="n">
        <v>2</v>
      </c>
      <c r="D297" s="12" t="n">
        <v>4</v>
      </c>
      <c r="E297" s="12" t="inlineStr">
        <is>
          <t>-2</t>
        </is>
      </c>
      <c r="F297" s="12" t="n">
        <v>13</v>
      </c>
      <c r="G297" s="12" t="n">
        <v>115</v>
      </c>
      <c r="H297" s="12" t="n">
        <v>10.16</v>
      </c>
    </row>
    <row r="298">
      <c r="A298" s="8" t="inlineStr">
        <is>
          <t>Stallions Esports</t>
        </is>
      </c>
      <c r="B298" s="8" t="inlineStr">
        <is>
          <t>1v3</t>
        </is>
      </c>
      <c r="C298" s="8" t="n">
        <v>1</v>
      </c>
      <c r="D298" s="8" t="n">
        <v>3</v>
      </c>
      <c r="E298" s="8" t="inlineStr">
        <is>
          <t>-2</t>
        </is>
      </c>
      <c r="F298" s="8" t="n">
        <v>4</v>
      </c>
      <c r="G298" s="8" t="n">
        <v>101</v>
      </c>
      <c r="H298" s="8" t="n">
        <v>3.81</v>
      </c>
    </row>
    <row r="299">
      <c r="A299" s="12" t="inlineStr">
        <is>
          <t>Stallions Esports</t>
        </is>
      </c>
      <c r="B299" s="12" t="inlineStr">
        <is>
          <t>2v5</t>
        </is>
      </c>
      <c r="C299" s="12" t="n">
        <v>2</v>
      </c>
      <c r="D299" s="12" t="n">
        <v>5</v>
      </c>
      <c r="E299" s="12" t="inlineStr">
        <is>
          <t>-3</t>
        </is>
      </c>
      <c r="F299" s="12" t="n">
        <v>1</v>
      </c>
      <c r="G299" s="12" t="n">
        <v>66</v>
      </c>
      <c r="H299" s="12" t="n">
        <v>1.49</v>
      </c>
    </row>
    <row r="300">
      <c r="A300" s="8" t="inlineStr">
        <is>
          <t>Stallions Esports</t>
        </is>
      </c>
      <c r="B300" s="8" t="inlineStr">
        <is>
          <t>1v4</t>
        </is>
      </c>
      <c r="C300" s="8" t="n">
        <v>1</v>
      </c>
      <c r="D300" s="8" t="n">
        <v>4</v>
      </c>
      <c r="E300" s="8" t="inlineStr">
        <is>
          <t>-3</t>
        </is>
      </c>
      <c r="F300" s="8" t="n">
        <v>0</v>
      </c>
      <c r="G300" s="8" t="n">
        <v>81</v>
      </c>
      <c r="H300" s="8" t="n">
        <v>0</v>
      </c>
    </row>
    <row r="301">
      <c r="A301" s="12" t="inlineStr">
        <is>
          <t>Stallions Esports</t>
        </is>
      </c>
      <c r="B301" s="12" t="inlineStr">
        <is>
          <t>1v5</t>
        </is>
      </c>
      <c r="C301" s="12" t="n">
        <v>1</v>
      </c>
      <c r="D301" s="12" t="n">
        <v>5</v>
      </c>
      <c r="E301" s="12" t="inlineStr">
        <is>
          <t>-4</t>
        </is>
      </c>
      <c r="F301" s="12" t="n">
        <v>0</v>
      </c>
      <c r="G301" s="12" t="n">
        <v>45</v>
      </c>
      <c r="H301" s="12" t="n">
        <v>0</v>
      </c>
    </row>
    <row r="302">
      <c r="A302" s="8" t="inlineStr">
        <is>
          <t>Team Liquid Academy</t>
        </is>
      </c>
      <c r="B302" s="8" t="inlineStr">
        <is>
          <t>5v1</t>
        </is>
      </c>
      <c r="C302" s="8" t="n">
        <v>5</v>
      </c>
      <c r="D302" s="8" t="n">
        <v>1</v>
      </c>
      <c r="E302" s="8" t="inlineStr">
        <is>
          <t>+4</t>
        </is>
      </c>
      <c r="F302" s="8" t="n">
        <v>21</v>
      </c>
      <c r="G302" s="8" t="n">
        <v>0</v>
      </c>
      <c r="H302" s="8" t="n">
        <v>100</v>
      </c>
    </row>
    <row r="303">
      <c r="A303" s="12" t="inlineStr">
        <is>
          <t>Team Liquid Academy</t>
        </is>
      </c>
      <c r="B303" s="12" t="inlineStr">
        <is>
          <t>5v2</t>
        </is>
      </c>
      <c r="C303" s="12" t="n">
        <v>5</v>
      </c>
      <c r="D303" s="12" t="n">
        <v>2</v>
      </c>
      <c r="E303" s="12" t="inlineStr">
        <is>
          <t>+3</t>
        </is>
      </c>
      <c r="F303" s="12" t="n">
        <v>36</v>
      </c>
      <c r="G303" s="12" t="n">
        <v>1</v>
      </c>
      <c r="H303" s="12" t="n">
        <v>97.3</v>
      </c>
    </row>
    <row r="304">
      <c r="A304" s="8" t="inlineStr">
        <is>
          <t>Team Liquid Academy</t>
        </is>
      </c>
      <c r="B304" s="8" t="inlineStr">
        <is>
          <t>4v1</t>
        </is>
      </c>
      <c r="C304" s="8" t="n">
        <v>4</v>
      </c>
      <c r="D304" s="8" t="n">
        <v>1</v>
      </c>
      <c r="E304" s="8" t="inlineStr">
        <is>
          <t>+3</t>
        </is>
      </c>
      <c r="F304" s="8" t="n">
        <v>84</v>
      </c>
      <c r="G304" s="8" t="n">
        <v>1</v>
      </c>
      <c r="H304" s="8" t="n">
        <v>98.81999999999999</v>
      </c>
    </row>
    <row r="305">
      <c r="A305" s="12" t="inlineStr">
        <is>
          <t>Team Liquid Academy</t>
        </is>
      </c>
      <c r="B305" s="12" t="inlineStr">
        <is>
          <t>5v3</t>
        </is>
      </c>
      <c r="C305" s="12" t="n">
        <v>5</v>
      </c>
      <c r="D305" s="12" t="n">
        <v>3</v>
      </c>
      <c r="E305" s="12" t="inlineStr">
        <is>
          <t>+2</t>
        </is>
      </c>
      <c r="F305" s="12" t="n">
        <v>62</v>
      </c>
      <c r="G305" s="12" t="n">
        <v>6</v>
      </c>
      <c r="H305" s="12" t="n">
        <v>91.18000000000001</v>
      </c>
    </row>
    <row r="306">
      <c r="A306" s="8" t="inlineStr">
        <is>
          <t>Team Liquid Academy</t>
        </is>
      </c>
      <c r="B306" s="8" t="inlineStr">
        <is>
          <t>4v2</t>
        </is>
      </c>
      <c r="C306" s="8" t="n">
        <v>4</v>
      </c>
      <c r="D306" s="8" t="n">
        <v>2</v>
      </c>
      <c r="E306" s="8" t="inlineStr">
        <is>
          <t>+2</t>
        </is>
      </c>
      <c r="F306" s="8" t="n">
        <v>121</v>
      </c>
      <c r="G306" s="8" t="n">
        <v>6</v>
      </c>
      <c r="H306" s="8" t="n">
        <v>95.28</v>
      </c>
    </row>
    <row r="307">
      <c r="A307" s="12" t="inlineStr">
        <is>
          <t>Team Liquid Academy</t>
        </is>
      </c>
      <c r="B307" s="12" t="inlineStr">
        <is>
          <t>3v1</t>
        </is>
      </c>
      <c r="C307" s="12" t="n">
        <v>3</v>
      </c>
      <c r="D307" s="12" t="n">
        <v>1</v>
      </c>
      <c r="E307" s="12" t="inlineStr">
        <is>
          <t>+2</t>
        </is>
      </c>
      <c r="F307" s="12" t="n">
        <v>135</v>
      </c>
      <c r="G307" s="12" t="n">
        <v>4</v>
      </c>
      <c r="H307" s="12" t="n">
        <v>97.12</v>
      </c>
    </row>
    <row r="308">
      <c r="A308" s="8" t="inlineStr">
        <is>
          <t>Team Liquid Academy</t>
        </is>
      </c>
      <c r="B308" s="8" t="inlineStr">
        <is>
          <t>5v4</t>
        </is>
      </c>
      <c r="C308" s="8" t="n">
        <v>5</v>
      </c>
      <c r="D308" s="8" t="n">
        <v>4</v>
      </c>
      <c r="E308" s="8" t="inlineStr">
        <is>
          <t>+1</t>
        </is>
      </c>
      <c r="F308" s="8" t="n">
        <v>100</v>
      </c>
      <c r="G308" s="8" t="n">
        <v>33</v>
      </c>
      <c r="H308" s="8" t="n">
        <v>75.19</v>
      </c>
    </row>
    <row r="309">
      <c r="A309" s="12" t="inlineStr">
        <is>
          <t>Team Liquid Academy</t>
        </is>
      </c>
      <c r="B309" s="12" t="inlineStr">
        <is>
          <t>4v3</t>
        </is>
      </c>
      <c r="C309" s="12" t="n">
        <v>4</v>
      </c>
      <c r="D309" s="12" t="n">
        <v>3</v>
      </c>
      <c r="E309" s="12" t="inlineStr">
        <is>
          <t>+1</t>
        </is>
      </c>
      <c r="F309" s="12" t="n">
        <v>171</v>
      </c>
      <c r="G309" s="12" t="n">
        <v>21</v>
      </c>
      <c r="H309" s="12" t="n">
        <v>89.06</v>
      </c>
    </row>
    <row r="310">
      <c r="A310" s="8" t="inlineStr">
        <is>
          <t>Team Liquid Academy</t>
        </is>
      </c>
      <c r="B310" s="8" t="inlineStr">
        <is>
          <t>3v2</t>
        </is>
      </c>
      <c r="C310" s="8" t="n">
        <v>3</v>
      </c>
      <c r="D310" s="8" t="n">
        <v>2</v>
      </c>
      <c r="E310" s="8" t="inlineStr">
        <is>
          <t>+1</t>
        </is>
      </c>
      <c r="F310" s="8" t="n">
        <v>167</v>
      </c>
      <c r="G310" s="8" t="n">
        <v>24</v>
      </c>
      <c r="H310" s="8" t="n">
        <v>87.43000000000001</v>
      </c>
    </row>
    <row r="311">
      <c r="A311" s="12" t="inlineStr">
        <is>
          <t>Team Liquid Academy</t>
        </is>
      </c>
      <c r="B311" s="12" t="inlineStr">
        <is>
          <t>2v1</t>
        </is>
      </c>
      <c r="C311" s="12" t="n">
        <v>2</v>
      </c>
      <c r="D311" s="12" t="n">
        <v>1</v>
      </c>
      <c r="E311" s="12" t="inlineStr">
        <is>
          <t>+1</t>
        </is>
      </c>
      <c r="F311" s="12" t="n">
        <v>124</v>
      </c>
      <c r="G311" s="12" t="n">
        <v>13</v>
      </c>
      <c r="H311" s="12" t="n">
        <v>90.51000000000001</v>
      </c>
    </row>
    <row r="312">
      <c r="A312" s="8" t="inlineStr">
        <is>
          <t>Team Liquid Academy</t>
        </is>
      </c>
      <c r="B312" s="8" t="inlineStr">
        <is>
          <t>5v5</t>
        </is>
      </c>
      <c r="C312" s="8" t="n">
        <v>5</v>
      </c>
      <c r="D312" s="8" t="n">
        <v>5</v>
      </c>
      <c r="E312" s="8" t="inlineStr">
        <is>
          <t>0</t>
        </is>
      </c>
      <c r="F312" s="8" t="n">
        <v>146</v>
      </c>
      <c r="G312" s="8" t="n">
        <v>126</v>
      </c>
      <c r="H312" s="8" t="n">
        <v>53.68</v>
      </c>
    </row>
    <row r="313">
      <c r="A313" s="12" t="inlineStr">
        <is>
          <t>Team Liquid Academy</t>
        </is>
      </c>
      <c r="B313" s="12" t="inlineStr">
        <is>
          <t>4v4</t>
        </is>
      </c>
      <c r="C313" s="12" t="n">
        <v>4</v>
      </c>
      <c r="D313" s="12" t="n">
        <v>4</v>
      </c>
      <c r="E313" s="12" t="inlineStr">
        <is>
          <t>0</t>
        </is>
      </c>
      <c r="F313" s="12" t="n">
        <v>217</v>
      </c>
      <c r="G313" s="12" t="n">
        <v>68</v>
      </c>
      <c r="H313" s="12" t="n">
        <v>76.14</v>
      </c>
    </row>
    <row r="314">
      <c r="A314" s="8" t="inlineStr">
        <is>
          <t>Team Liquid Academy</t>
        </is>
      </c>
      <c r="B314" s="8" t="inlineStr">
        <is>
          <t>3v3</t>
        </is>
      </c>
      <c r="C314" s="8" t="n">
        <v>3</v>
      </c>
      <c r="D314" s="8" t="n">
        <v>3</v>
      </c>
      <c r="E314" s="8" t="inlineStr">
        <is>
          <t>0</t>
        </is>
      </c>
      <c r="F314" s="8" t="n">
        <v>182</v>
      </c>
      <c r="G314" s="8" t="n">
        <v>62</v>
      </c>
      <c r="H314" s="8" t="n">
        <v>74.59</v>
      </c>
    </row>
    <row r="315">
      <c r="A315" s="12" t="inlineStr">
        <is>
          <t>Team Liquid Academy</t>
        </is>
      </c>
      <c r="B315" s="12" t="inlineStr">
        <is>
          <t>2v2</t>
        </is>
      </c>
      <c r="C315" s="12" t="n">
        <v>2</v>
      </c>
      <c r="D315" s="12" t="n">
        <v>2</v>
      </c>
      <c r="E315" s="12" t="inlineStr">
        <is>
          <t>0</t>
        </is>
      </c>
      <c r="F315" s="12" t="n">
        <v>129</v>
      </c>
      <c r="G315" s="12" t="n">
        <v>49</v>
      </c>
      <c r="H315" s="12" t="n">
        <v>72.47</v>
      </c>
    </row>
    <row r="316">
      <c r="A316" s="8" t="inlineStr">
        <is>
          <t>Team Liquid Academy</t>
        </is>
      </c>
      <c r="B316" s="8" t="inlineStr">
        <is>
          <t>1v1</t>
        </is>
      </c>
      <c r="C316" s="8" t="n">
        <v>1</v>
      </c>
      <c r="D316" s="8" t="n">
        <v>1</v>
      </c>
      <c r="E316" s="8" t="inlineStr">
        <is>
          <t>0</t>
        </is>
      </c>
      <c r="F316" s="8" t="n">
        <v>61</v>
      </c>
      <c r="G316" s="8" t="n">
        <v>43</v>
      </c>
      <c r="H316" s="8" t="n">
        <v>58.65</v>
      </c>
    </row>
    <row r="317">
      <c r="A317" s="12" t="inlineStr">
        <is>
          <t>Team Liquid Academy</t>
        </is>
      </c>
      <c r="B317" s="12" t="inlineStr">
        <is>
          <t>4v5</t>
        </is>
      </c>
      <c r="C317" s="12" t="n">
        <v>4</v>
      </c>
      <c r="D317" s="12" t="n">
        <v>5</v>
      </c>
      <c r="E317" s="12" t="inlineStr">
        <is>
          <t>-1</t>
        </is>
      </c>
      <c r="F317" s="12" t="n">
        <v>237</v>
      </c>
      <c r="G317" s="12" t="n">
        <v>148</v>
      </c>
      <c r="H317" s="12" t="n">
        <v>61.56</v>
      </c>
    </row>
    <row r="318">
      <c r="A318" s="8" t="inlineStr">
        <is>
          <t>Team Liquid Academy</t>
        </is>
      </c>
      <c r="B318" s="8" t="inlineStr">
        <is>
          <t>3v4</t>
        </is>
      </c>
      <c r="C318" s="8" t="n">
        <v>3</v>
      </c>
      <c r="D318" s="8" t="n">
        <v>4</v>
      </c>
      <c r="E318" s="8" t="inlineStr">
        <is>
          <t>-1</t>
        </is>
      </c>
      <c r="F318" s="8" t="n">
        <v>152</v>
      </c>
      <c r="G318" s="8" t="n">
        <v>124</v>
      </c>
      <c r="H318" s="8" t="n">
        <v>55.07</v>
      </c>
    </row>
    <row r="319">
      <c r="A319" s="12" t="inlineStr">
        <is>
          <t>Team Liquid Academy</t>
        </is>
      </c>
      <c r="B319" s="12" t="inlineStr">
        <is>
          <t>2v3</t>
        </is>
      </c>
      <c r="C319" s="12" t="n">
        <v>2</v>
      </c>
      <c r="D319" s="12" t="n">
        <v>3</v>
      </c>
      <c r="E319" s="12" t="inlineStr">
        <is>
          <t>-1</t>
        </is>
      </c>
      <c r="F319" s="12" t="n">
        <v>95</v>
      </c>
      <c r="G319" s="12" t="n">
        <v>91</v>
      </c>
      <c r="H319" s="12" t="n">
        <v>51.08</v>
      </c>
    </row>
    <row r="320">
      <c r="A320" s="8" t="inlineStr">
        <is>
          <t>Team Liquid Academy</t>
        </is>
      </c>
      <c r="B320" s="8" t="inlineStr">
        <is>
          <t>1v2</t>
        </is>
      </c>
      <c r="C320" s="8" t="n">
        <v>1</v>
      </c>
      <c r="D320" s="8" t="n">
        <v>2</v>
      </c>
      <c r="E320" s="8" t="inlineStr">
        <is>
          <t>-1</t>
        </is>
      </c>
      <c r="F320" s="8" t="n">
        <v>47</v>
      </c>
      <c r="G320" s="8" t="n">
        <v>80</v>
      </c>
      <c r="H320" s="8" t="n">
        <v>37.01</v>
      </c>
    </row>
    <row r="321">
      <c r="A321" s="12" t="inlineStr">
        <is>
          <t>Team Liquid Academy</t>
        </is>
      </c>
      <c r="B321" s="12" t="inlineStr">
        <is>
          <t>3v5</t>
        </is>
      </c>
      <c r="C321" s="12" t="n">
        <v>3</v>
      </c>
      <c r="D321" s="12" t="n">
        <v>5</v>
      </c>
      <c r="E321" s="12" t="inlineStr">
        <is>
          <t>-2</t>
        </is>
      </c>
      <c r="F321" s="12" t="n">
        <v>107</v>
      </c>
      <c r="G321" s="12" t="n">
        <v>161</v>
      </c>
      <c r="H321" s="12" t="n">
        <v>39.93</v>
      </c>
    </row>
    <row r="322">
      <c r="A322" s="8" t="inlineStr">
        <is>
          <t>Team Liquid Academy</t>
        </is>
      </c>
      <c r="B322" s="8" t="inlineStr">
        <is>
          <t>2v4</t>
        </is>
      </c>
      <c r="C322" s="8" t="n">
        <v>2</v>
      </c>
      <c r="D322" s="8" t="n">
        <v>4</v>
      </c>
      <c r="E322" s="8" t="inlineStr">
        <is>
          <t>-2</t>
        </is>
      </c>
      <c r="F322" s="8" t="n">
        <v>56</v>
      </c>
      <c r="G322" s="8" t="n">
        <v>122</v>
      </c>
      <c r="H322" s="8" t="n">
        <v>31.46</v>
      </c>
    </row>
    <row r="323">
      <c r="A323" s="12" t="inlineStr">
        <is>
          <t>Team Liquid Academy</t>
        </is>
      </c>
      <c r="B323" s="12" t="inlineStr">
        <is>
          <t>1v3</t>
        </is>
      </c>
      <c r="C323" s="12" t="n">
        <v>1</v>
      </c>
      <c r="D323" s="12" t="n">
        <v>3</v>
      </c>
      <c r="E323" s="12" t="inlineStr">
        <is>
          <t>-2</t>
        </is>
      </c>
      <c r="F323" s="12" t="n">
        <v>26</v>
      </c>
      <c r="G323" s="12" t="n">
        <v>110</v>
      </c>
      <c r="H323" s="12" t="n">
        <v>19.12</v>
      </c>
    </row>
    <row r="324">
      <c r="A324" s="8" t="inlineStr">
        <is>
          <t>Team Liquid Academy</t>
        </is>
      </c>
      <c r="B324" s="8" t="inlineStr">
        <is>
          <t>2v5</t>
        </is>
      </c>
      <c r="C324" s="8" t="n">
        <v>2</v>
      </c>
      <c r="D324" s="8" t="n">
        <v>5</v>
      </c>
      <c r="E324" s="8" t="inlineStr">
        <is>
          <t>-3</t>
        </is>
      </c>
      <c r="F324" s="8" t="n">
        <v>32</v>
      </c>
      <c r="G324" s="8" t="n">
        <v>110</v>
      </c>
      <c r="H324" s="8" t="n">
        <v>22.54</v>
      </c>
    </row>
    <row r="325">
      <c r="A325" s="12" t="inlineStr">
        <is>
          <t>Team Liquid Academy</t>
        </is>
      </c>
      <c r="B325" s="12" t="inlineStr">
        <is>
          <t>1v4</t>
        </is>
      </c>
      <c r="C325" s="12" t="n">
        <v>1</v>
      </c>
      <c r="D325" s="12" t="n">
        <v>4</v>
      </c>
      <c r="E325" s="12" t="inlineStr">
        <is>
          <t>-3</t>
        </is>
      </c>
      <c r="F325" s="12" t="n">
        <v>15</v>
      </c>
      <c r="G325" s="12" t="n">
        <v>97</v>
      </c>
      <c r="H325" s="12" t="n">
        <v>13.39</v>
      </c>
    </row>
    <row r="326">
      <c r="A326" s="8" t="inlineStr">
        <is>
          <t>Team Liquid Academy</t>
        </is>
      </c>
      <c r="B326" s="8" t="inlineStr">
        <is>
          <t>1v5</t>
        </is>
      </c>
      <c r="C326" s="8" t="n">
        <v>1</v>
      </c>
      <c r="D326" s="8" t="n">
        <v>5</v>
      </c>
      <c r="E326" s="8" t="inlineStr">
        <is>
          <t>-4</t>
        </is>
      </c>
      <c r="F326" s="8" t="n">
        <v>4</v>
      </c>
      <c r="G326" s="8" t="n">
        <v>70</v>
      </c>
      <c r="H326" s="8" t="n">
        <v>5.41</v>
      </c>
    </row>
    <row r="327">
      <c r="A327" s="12" t="inlineStr">
        <is>
          <t>UCAM Esports</t>
        </is>
      </c>
      <c r="B327" s="12" t="inlineStr">
        <is>
          <t>5v1</t>
        </is>
      </c>
      <c r="C327" s="12" t="n">
        <v>5</v>
      </c>
      <c r="D327" s="12" t="n">
        <v>1</v>
      </c>
      <c r="E327" s="12" t="inlineStr">
        <is>
          <t>+4</t>
        </is>
      </c>
      <c r="F327" s="12" t="n">
        <v>84</v>
      </c>
      <c r="G327" s="12" t="n">
        <v>0</v>
      </c>
      <c r="H327" s="12" t="n">
        <v>100</v>
      </c>
    </row>
    <row r="328">
      <c r="A328" s="8" t="inlineStr">
        <is>
          <t>UCAM Esports</t>
        </is>
      </c>
      <c r="B328" s="8" t="inlineStr">
        <is>
          <t>5v2</t>
        </is>
      </c>
      <c r="C328" s="8" t="n">
        <v>5</v>
      </c>
      <c r="D328" s="8" t="n">
        <v>2</v>
      </c>
      <c r="E328" s="8" t="inlineStr">
        <is>
          <t>+3</t>
        </is>
      </c>
      <c r="F328" s="8" t="n">
        <v>139</v>
      </c>
      <c r="G328" s="8" t="n">
        <v>1</v>
      </c>
      <c r="H328" s="8" t="n">
        <v>99.29000000000001</v>
      </c>
    </row>
    <row r="329">
      <c r="A329" s="12" t="inlineStr">
        <is>
          <t>UCAM Esports</t>
        </is>
      </c>
      <c r="B329" s="12" t="inlineStr">
        <is>
          <t>4v1</t>
        </is>
      </c>
      <c r="C329" s="12" t="n">
        <v>4</v>
      </c>
      <c r="D329" s="12" t="n">
        <v>1</v>
      </c>
      <c r="E329" s="12" t="inlineStr">
        <is>
          <t>+3</t>
        </is>
      </c>
      <c r="F329" s="12" t="n">
        <v>149</v>
      </c>
      <c r="G329" s="12" t="n">
        <v>0</v>
      </c>
      <c r="H329" s="12" t="n">
        <v>100</v>
      </c>
    </row>
    <row r="330">
      <c r="A330" s="8" t="inlineStr">
        <is>
          <t>UCAM Esports</t>
        </is>
      </c>
      <c r="B330" s="8" t="inlineStr">
        <is>
          <t>5v3</t>
        </is>
      </c>
      <c r="C330" s="8" t="n">
        <v>5</v>
      </c>
      <c r="D330" s="8" t="n">
        <v>3</v>
      </c>
      <c r="E330" s="8" t="inlineStr">
        <is>
          <t>+2</t>
        </is>
      </c>
      <c r="F330" s="8" t="n">
        <v>209</v>
      </c>
      <c r="G330" s="8" t="n">
        <v>22</v>
      </c>
      <c r="H330" s="8" t="n">
        <v>90.48</v>
      </c>
    </row>
    <row r="331">
      <c r="A331" s="12" t="inlineStr">
        <is>
          <t>UCAM Esports</t>
        </is>
      </c>
      <c r="B331" s="12" t="inlineStr">
        <is>
          <t>4v2</t>
        </is>
      </c>
      <c r="C331" s="12" t="n">
        <v>4</v>
      </c>
      <c r="D331" s="12" t="n">
        <v>2</v>
      </c>
      <c r="E331" s="12" t="inlineStr">
        <is>
          <t>+2</t>
        </is>
      </c>
      <c r="F331" s="12" t="n">
        <v>208</v>
      </c>
      <c r="G331" s="12" t="n">
        <v>12</v>
      </c>
      <c r="H331" s="12" t="n">
        <v>94.55</v>
      </c>
    </row>
    <row r="332">
      <c r="A332" s="8" t="inlineStr">
        <is>
          <t>UCAM Esports</t>
        </is>
      </c>
      <c r="B332" s="8" t="inlineStr">
        <is>
          <t>3v1</t>
        </is>
      </c>
      <c r="C332" s="8" t="n">
        <v>3</v>
      </c>
      <c r="D332" s="8" t="n">
        <v>1</v>
      </c>
      <c r="E332" s="8" t="inlineStr">
        <is>
          <t>+2</t>
        </is>
      </c>
      <c r="F332" s="8" t="n">
        <v>183</v>
      </c>
      <c r="G332" s="8" t="n">
        <v>3</v>
      </c>
      <c r="H332" s="8" t="n">
        <v>98.39</v>
      </c>
    </row>
    <row r="333">
      <c r="A333" s="12" t="inlineStr">
        <is>
          <t>UCAM Esports</t>
        </is>
      </c>
      <c r="B333" s="12" t="inlineStr">
        <is>
          <t>5v4</t>
        </is>
      </c>
      <c r="C333" s="12" t="n">
        <v>5</v>
      </c>
      <c r="D333" s="12" t="n">
        <v>4</v>
      </c>
      <c r="E333" s="12" t="inlineStr">
        <is>
          <t>+1</t>
        </is>
      </c>
      <c r="F333" s="12" t="n">
        <v>350</v>
      </c>
      <c r="G333" s="12" t="n">
        <v>133</v>
      </c>
      <c r="H333" s="12" t="n">
        <v>72.45999999999999</v>
      </c>
    </row>
    <row r="334">
      <c r="A334" s="8" t="inlineStr">
        <is>
          <t>UCAM Esports</t>
        </is>
      </c>
      <c r="B334" s="8" t="inlineStr">
        <is>
          <t>4v3</t>
        </is>
      </c>
      <c r="C334" s="8" t="n">
        <v>4</v>
      </c>
      <c r="D334" s="8" t="n">
        <v>3</v>
      </c>
      <c r="E334" s="8" t="inlineStr">
        <is>
          <t>+1</t>
        </is>
      </c>
      <c r="F334" s="8" t="n">
        <v>261</v>
      </c>
      <c r="G334" s="8" t="n">
        <v>79</v>
      </c>
      <c r="H334" s="8" t="n">
        <v>76.76000000000001</v>
      </c>
    </row>
    <row r="335">
      <c r="A335" s="12" t="inlineStr">
        <is>
          <t>UCAM Esports</t>
        </is>
      </c>
      <c r="B335" s="12" t="inlineStr">
        <is>
          <t>3v2</t>
        </is>
      </c>
      <c r="C335" s="12" t="n">
        <v>3</v>
      </c>
      <c r="D335" s="12" t="n">
        <v>2</v>
      </c>
      <c r="E335" s="12" t="inlineStr">
        <is>
          <t>+1</t>
        </is>
      </c>
      <c r="F335" s="12" t="n">
        <v>219</v>
      </c>
      <c r="G335" s="12" t="n">
        <v>56</v>
      </c>
      <c r="H335" s="12" t="n">
        <v>79.64</v>
      </c>
    </row>
    <row r="336">
      <c r="A336" s="8" t="inlineStr">
        <is>
          <t>UCAM Esports</t>
        </is>
      </c>
      <c r="B336" s="8" t="inlineStr">
        <is>
          <t>2v1</t>
        </is>
      </c>
      <c r="C336" s="8" t="n">
        <v>2</v>
      </c>
      <c r="D336" s="8" t="n">
        <v>1</v>
      </c>
      <c r="E336" s="8" t="inlineStr">
        <is>
          <t>+1</t>
        </is>
      </c>
      <c r="F336" s="8" t="n">
        <v>176</v>
      </c>
      <c r="G336" s="8" t="n">
        <v>17</v>
      </c>
      <c r="H336" s="8" t="n">
        <v>91.19</v>
      </c>
    </row>
    <row r="337">
      <c r="A337" s="12" t="inlineStr">
        <is>
          <t>UCAM Esports</t>
        </is>
      </c>
      <c r="B337" s="12" t="inlineStr">
        <is>
          <t>5v5</t>
        </is>
      </c>
      <c r="C337" s="12" t="n">
        <v>5</v>
      </c>
      <c r="D337" s="12" t="n">
        <v>5</v>
      </c>
      <c r="E337" s="12" t="inlineStr">
        <is>
          <t>0</t>
        </is>
      </c>
      <c r="F337" s="12" t="n">
        <v>508</v>
      </c>
      <c r="G337" s="12" t="n">
        <v>455</v>
      </c>
      <c r="H337" s="12" t="n">
        <v>52.75</v>
      </c>
    </row>
    <row r="338">
      <c r="A338" s="8" t="inlineStr">
        <is>
          <t>UCAM Esports</t>
        </is>
      </c>
      <c r="B338" s="8" t="inlineStr">
        <is>
          <t>4v4</t>
        </is>
      </c>
      <c r="C338" s="8" t="n">
        <v>4</v>
      </c>
      <c r="D338" s="8" t="n">
        <v>4</v>
      </c>
      <c r="E338" s="8" t="inlineStr">
        <is>
          <t>0</t>
        </is>
      </c>
      <c r="F338" s="8" t="n">
        <v>261</v>
      </c>
      <c r="G338" s="8" t="n">
        <v>220</v>
      </c>
      <c r="H338" s="8" t="n">
        <v>54.26</v>
      </c>
    </row>
    <row r="339">
      <c r="A339" s="12" t="inlineStr">
        <is>
          <t>UCAM Esports</t>
        </is>
      </c>
      <c r="B339" s="12" t="inlineStr">
        <is>
          <t>3v3</t>
        </is>
      </c>
      <c r="C339" s="12" t="n">
        <v>3</v>
      </c>
      <c r="D339" s="12" t="n">
        <v>3</v>
      </c>
      <c r="E339" s="12" t="inlineStr">
        <is>
          <t>0</t>
        </is>
      </c>
      <c r="F339" s="12" t="n">
        <v>180</v>
      </c>
      <c r="G339" s="12" t="n">
        <v>149</v>
      </c>
      <c r="H339" s="12" t="n">
        <v>54.71</v>
      </c>
    </row>
    <row r="340">
      <c r="A340" s="8" t="inlineStr">
        <is>
          <t>UCAM Esports</t>
        </is>
      </c>
      <c r="B340" s="8" t="inlineStr">
        <is>
          <t>2v2</t>
        </is>
      </c>
      <c r="C340" s="8" t="n">
        <v>2</v>
      </c>
      <c r="D340" s="8" t="n">
        <v>2</v>
      </c>
      <c r="E340" s="8" t="inlineStr">
        <is>
          <t>0</t>
        </is>
      </c>
      <c r="F340" s="8" t="n">
        <v>144</v>
      </c>
      <c r="G340" s="8" t="n">
        <v>115</v>
      </c>
      <c r="H340" s="8" t="n">
        <v>55.6</v>
      </c>
    </row>
    <row r="341">
      <c r="A341" s="12" t="inlineStr">
        <is>
          <t>UCAM Esports</t>
        </is>
      </c>
      <c r="B341" s="12" t="inlineStr">
        <is>
          <t>1v1</t>
        </is>
      </c>
      <c r="C341" s="12" t="n">
        <v>1</v>
      </c>
      <c r="D341" s="12" t="n">
        <v>1</v>
      </c>
      <c r="E341" s="12" t="inlineStr">
        <is>
          <t>0</t>
        </is>
      </c>
      <c r="F341" s="12" t="n">
        <v>94</v>
      </c>
      <c r="G341" s="12" t="n">
        <v>69</v>
      </c>
      <c r="H341" s="12" t="n">
        <v>57.67</v>
      </c>
    </row>
    <row r="342">
      <c r="A342" s="8" t="inlineStr">
        <is>
          <t>UCAM Esports</t>
        </is>
      </c>
      <c r="B342" s="8" t="inlineStr">
        <is>
          <t>4v5</t>
        </is>
      </c>
      <c r="C342" s="8" t="n">
        <v>4</v>
      </c>
      <c r="D342" s="8" t="n">
        <v>5</v>
      </c>
      <c r="E342" s="8" t="inlineStr">
        <is>
          <t>-1</t>
        </is>
      </c>
      <c r="F342" s="8" t="n">
        <v>158</v>
      </c>
      <c r="G342" s="8" t="n">
        <v>322</v>
      </c>
      <c r="H342" s="8" t="n">
        <v>32.92</v>
      </c>
    </row>
    <row r="343">
      <c r="A343" s="12" t="inlineStr">
        <is>
          <t>UCAM Esports</t>
        </is>
      </c>
      <c r="B343" s="12" t="inlineStr">
        <is>
          <t>3v4</t>
        </is>
      </c>
      <c r="C343" s="12" t="n">
        <v>3</v>
      </c>
      <c r="D343" s="12" t="n">
        <v>4</v>
      </c>
      <c r="E343" s="12" t="inlineStr">
        <is>
          <t>-1</t>
        </is>
      </c>
      <c r="F343" s="12" t="n">
        <v>103</v>
      </c>
      <c r="G343" s="12" t="n">
        <v>240</v>
      </c>
      <c r="H343" s="12" t="n">
        <v>30.03</v>
      </c>
    </row>
    <row r="344">
      <c r="A344" s="8" t="inlineStr">
        <is>
          <t>UCAM Esports</t>
        </is>
      </c>
      <c r="B344" s="8" t="inlineStr">
        <is>
          <t>2v3</t>
        </is>
      </c>
      <c r="C344" s="8" t="n">
        <v>2</v>
      </c>
      <c r="D344" s="8" t="n">
        <v>3</v>
      </c>
      <c r="E344" s="8" t="inlineStr">
        <is>
          <t>-1</t>
        </is>
      </c>
      <c r="F344" s="8" t="n">
        <v>64</v>
      </c>
      <c r="G344" s="8" t="n">
        <v>184</v>
      </c>
      <c r="H344" s="8" t="n">
        <v>25.81</v>
      </c>
    </row>
    <row r="345">
      <c r="A345" s="12" t="inlineStr">
        <is>
          <t>UCAM Esports</t>
        </is>
      </c>
      <c r="B345" s="12" t="inlineStr">
        <is>
          <t>1v2</t>
        </is>
      </c>
      <c r="C345" s="12" t="n">
        <v>1</v>
      </c>
      <c r="D345" s="12" t="n">
        <v>2</v>
      </c>
      <c r="E345" s="12" t="inlineStr">
        <is>
          <t>-1</t>
        </is>
      </c>
      <c r="F345" s="12" t="n">
        <v>31</v>
      </c>
      <c r="G345" s="12" t="n">
        <v>164</v>
      </c>
      <c r="H345" s="12" t="n">
        <v>15.9</v>
      </c>
    </row>
    <row r="346">
      <c r="A346" s="8" t="inlineStr">
        <is>
          <t>UCAM Esports</t>
        </is>
      </c>
      <c r="B346" s="8" t="inlineStr">
        <is>
          <t>3v5</t>
        </is>
      </c>
      <c r="C346" s="8" t="n">
        <v>3</v>
      </c>
      <c r="D346" s="8" t="n">
        <v>5</v>
      </c>
      <c r="E346" s="8" t="inlineStr">
        <is>
          <t>-2</t>
        </is>
      </c>
      <c r="F346" s="8" t="n">
        <v>38</v>
      </c>
      <c r="G346" s="8" t="n">
        <v>213</v>
      </c>
      <c r="H346" s="8" t="n">
        <v>15.14</v>
      </c>
    </row>
    <row r="347">
      <c r="A347" s="12" t="inlineStr">
        <is>
          <t>UCAM Esports</t>
        </is>
      </c>
      <c r="B347" s="12" t="inlineStr">
        <is>
          <t>2v4</t>
        </is>
      </c>
      <c r="C347" s="12" t="n">
        <v>2</v>
      </c>
      <c r="D347" s="12" t="n">
        <v>4</v>
      </c>
      <c r="E347" s="12" t="inlineStr">
        <is>
          <t>-2</t>
        </is>
      </c>
      <c r="F347" s="12" t="n">
        <v>27</v>
      </c>
      <c r="G347" s="12" t="n">
        <v>207</v>
      </c>
      <c r="H347" s="12" t="n">
        <v>11.54</v>
      </c>
    </row>
    <row r="348">
      <c r="A348" s="8" t="inlineStr">
        <is>
          <t>UCAM Esports</t>
        </is>
      </c>
      <c r="B348" s="8" t="inlineStr">
        <is>
          <t>1v3</t>
        </is>
      </c>
      <c r="C348" s="8" t="n">
        <v>1</v>
      </c>
      <c r="D348" s="8" t="n">
        <v>3</v>
      </c>
      <c r="E348" s="8" t="inlineStr">
        <is>
          <t>-2</t>
        </is>
      </c>
      <c r="F348" s="8" t="n">
        <v>8</v>
      </c>
      <c r="G348" s="8" t="n">
        <v>180</v>
      </c>
      <c r="H348" s="8" t="n">
        <v>4.26</v>
      </c>
    </row>
    <row r="349">
      <c r="A349" s="12" t="inlineStr">
        <is>
          <t>UCAM Esports</t>
        </is>
      </c>
      <c r="B349" s="12" t="inlineStr">
        <is>
          <t>2v5</t>
        </is>
      </c>
      <c r="C349" s="12" t="n">
        <v>2</v>
      </c>
      <c r="D349" s="12" t="n">
        <v>5</v>
      </c>
      <c r="E349" s="12" t="inlineStr">
        <is>
          <t>-3</t>
        </is>
      </c>
      <c r="F349" s="12" t="n">
        <v>4</v>
      </c>
      <c r="G349" s="12" t="n">
        <v>135</v>
      </c>
      <c r="H349" s="12" t="n">
        <v>2.88</v>
      </c>
    </row>
    <row r="350">
      <c r="A350" s="8" t="inlineStr">
        <is>
          <t>UCAM Esports</t>
        </is>
      </c>
      <c r="B350" s="8" t="inlineStr">
        <is>
          <t>1v4</t>
        </is>
      </c>
      <c r="C350" s="8" t="n">
        <v>1</v>
      </c>
      <c r="D350" s="8" t="n">
        <v>4</v>
      </c>
      <c r="E350" s="8" t="inlineStr">
        <is>
          <t>-3</t>
        </is>
      </c>
      <c r="F350" s="8" t="n">
        <v>1</v>
      </c>
      <c r="G350" s="8" t="n">
        <v>152</v>
      </c>
      <c r="H350" s="8" t="n">
        <v>0.65</v>
      </c>
    </row>
    <row r="351">
      <c r="A351" s="12" t="inlineStr">
        <is>
          <t>UCAM Esports</t>
        </is>
      </c>
      <c r="B351" s="12" t="inlineStr">
        <is>
          <t>1v5</t>
        </is>
      </c>
      <c r="C351" s="12" t="n">
        <v>1</v>
      </c>
      <c r="D351" s="12" t="n">
        <v>5</v>
      </c>
      <c r="E351" s="12" t="inlineStr">
        <is>
          <t>-4</t>
        </is>
      </c>
      <c r="F351" s="12" t="n">
        <v>0</v>
      </c>
      <c r="G351" s="12" t="n">
        <v>76</v>
      </c>
      <c r="H351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33333"/>
    <outlinePr summaryBelow="1" summaryRight="1"/>
    <pageSetUpPr/>
  </sheetPr>
  <dimension ref="A1:I3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Team</t>
        </is>
      </c>
      <c r="B1" s="4" t="inlineStr">
        <is>
          <t>Map</t>
        </is>
      </c>
      <c r="C1" s="4" t="inlineStr">
        <is>
          <t>Site</t>
        </is>
      </c>
      <c r="D1" s="4" t="inlineStr">
        <is>
          <t>Role</t>
        </is>
      </c>
      <c r="E1" s="4" t="inlineStr">
        <is>
          <t>Plants</t>
        </is>
      </c>
      <c r="F1" s="4" t="inlineStr">
        <is>
          <t>Wins</t>
        </is>
      </c>
      <c r="G1" s="4" t="inlineStr">
        <is>
          <t>Losses</t>
        </is>
      </c>
      <c r="H1" s="4" t="inlineStr">
        <is>
          <t>Win %</t>
        </is>
      </c>
      <c r="I1" s="4" t="inlineStr">
        <is>
          <t>Key</t>
        </is>
      </c>
    </row>
    <row r="2">
      <c r="A2" s="8" t="inlineStr">
        <is>
          <t>Barça eSports</t>
        </is>
      </c>
      <c r="B2" s="8" t="inlineStr">
        <is>
          <t>Abyss</t>
        </is>
      </c>
      <c r="C2" s="8" t="inlineStr">
        <is>
          <t>A</t>
        </is>
      </c>
      <c r="D2" s="8" t="inlineStr">
        <is>
          <t>atk</t>
        </is>
      </c>
      <c r="E2" s="8" t="n">
        <v>5</v>
      </c>
      <c r="F2" s="8" t="n">
        <v>4</v>
      </c>
      <c r="G2" s="8" t="n">
        <v>1</v>
      </c>
      <c r="H2" s="8" t="n">
        <v>80</v>
      </c>
      <c r="I2" s="8" t="inlineStr">
        <is>
          <t>Barça eSports_Abyss</t>
        </is>
      </c>
    </row>
    <row r="3">
      <c r="A3" s="12" t="inlineStr">
        <is>
          <t>Barça eSports</t>
        </is>
      </c>
      <c r="B3" s="12" t="inlineStr">
        <is>
          <t>Abyss</t>
        </is>
      </c>
      <c r="C3" s="12" t="inlineStr">
        <is>
          <t>A</t>
        </is>
      </c>
      <c r="D3" s="12" t="inlineStr">
        <is>
          <t>def</t>
        </is>
      </c>
      <c r="E3" s="12" t="n">
        <v>5</v>
      </c>
      <c r="F3" s="12" t="n">
        <v>2</v>
      </c>
      <c r="G3" s="12" t="n">
        <v>3</v>
      </c>
      <c r="H3" s="12" t="n">
        <v>40</v>
      </c>
      <c r="I3" s="12" t="inlineStr">
        <is>
          <t>Barça eSports_Abyss</t>
        </is>
      </c>
    </row>
    <row r="4">
      <c r="A4" s="8" t="inlineStr">
        <is>
          <t>Barça eSports</t>
        </is>
      </c>
      <c r="B4" s="8" t="inlineStr">
        <is>
          <t>Abyss</t>
        </is>
      </c>
      <c r="C4" s="8" t="inlineStr">
        <is>
          <t>B</t>
        </is>
      </c>
      <c r="D4" s="8" t="inlineStr">
        <is>
          <t>atk</t>
        </is>
      </c>
      <c r="E4" s="8" t="n">
        <v>6</v>
      </c>
      <c r="F4" s="8" t="n">
        <v>3</v>
      </c>
      <c r="G4" s="8" t="n">
        <v>3</v>
      </c>
      <c r="H4" s="8" t="n">
        <v>50</v>
      </c>
      <c r="I4" s="8" t="inlineStr">
        <is>
          <t>Barça eSports_Abyss</t>
        </is>
      </c>
    </row>
    <row r="5">
      <c r="A5" s="12" t="inlineStr">
        <is>
          <t>Barça eSports</t>
        </is>
      </c>
      <c r="B5" s="12" t="inlineStr">
        <is>
          <t>Abyss</t>
        </is>
      </c>
      <c r="C5" s="12" t="inlineStr">
        <is>
          <t>B</t>
        </is>
      </c>
      <c r="D5" s="12" t="inlineStr">
        <is>
          <t>def</t>
        </is>
      </c>
      <c r="E5" s="12" t="n">
        <v>5</v>
      </c>
      <c r="F5" s="12" t="n">
        <v>2</v>
      </c>
      <c r="G5" s="12" t="n">
        <v>3</v>
      </c>
      <c r="H5" s="12" t="n">
        <v>40</v>
      </c>
      <c r="I5" s="12" t="inlineStr">
        <is>
          <t>Barça eSports_Abyss</t>
        </is>
      </c>
    </row>
    <row r="6">
      <c r="A6" s="8" t="inlineStr">
        <is>
          <t>Barça eSports</t>
        </is>
      </c>
      <c r="B6" s="8" t="inlineStr">
        <is>
          <t>Bind</t>
        </is>
      </c>
      <c r="C6" s="8" t="inlineStr">
        <is>
          <t>A</t>
        </is>
      </c>
      <c r="D6" s="8" t="inlineStr">
        <is>
          <t>atk</t>
        </is>
      </c>
      <c r="E6" s="8" t="n">
        <v>21</v>
      </c>
      <c r="F6" s="8" t="n">
        <v>13</v>
      </c>
      <c r="G6" s="8" t="n">
        <v>8</v>
      </c>
      <c r="H6" s="8" t="n">
        <v>61.9</v>
      </c>
      <c r="I6" s="8" t="inlineStr">
        <is>
          <t>Barça eSports_Bind</t>
        </is>
      </c>
    </row>
    <row r="7">
      <c r="A7" s="12" t="inlineStr">
        <is>
          <t>Barça eSports</t>
        </is>
      </c>
      <c r="B7" s="12" t="inlineStr">
        <is>
          <t>Bind</t>
        </is>
      </c>
      <c r="C7" s="12" t="inlineStr">
        <is>
          <t>A</t>
        </is>
      </c>
      <c r="D7" s="12" t="inlineStr">
        <is>
          <t>def</t>
        </is>
      </c>
      <c r="E7" s="12" t="n">
        <v>17</v>
      </c>
      <c r="F7" s="12" t="n">
        <v>9</v>
      </c>
      <c r="G7" s="12" t="n">
        <v>8</v>
      </c>
      <c r="H7" s="12" t="n">
        <v>52.94</v>
      </c>
      <c r="I7" s="12" t="inlineStr">
        <is>
          <t>Barça eSports_Bind</t>
        </is>
      </c>
    </row>
    <row r="8">
      <c r="A8" s="8" t="inlineStr">
        <is>
          <t>Barça eSports</t>
        </is>
      </c>
      <c r="B8" s="8" t="inlineStr">
        <is>
          <t>Bind</t>
        </is>
      </c>
      <c r="C8" s="8" t="inlineStr">
        <is>
          <t>B</t>
        </is>
      </c>
      <c r="D8" s="8" t="inlineStr">
        <is>
          <t>atk</t>
        </is>
      </c>
      <c r="E8" s="8" t="n">
        <v>12</v>
      </c>
      <c r="F8" s="8" t="n">
        <v>8</v>
      </c>
      <c r="G8" s="8" t="n">
        <v>4</v>
      </c>
      <c r="H8" s="8" t="n">
        <v>66.67</v>
      </c>
      <c r="I8" s="8" t="inlineStr">
        <is>
          <t>Barça eSports_Bind</t>
        </is>
      </c>
    </row>
    <row r="9">
      <c r="A9" s="12" t="inlineStr">
        <is>
          <t>Barça eSports</t>
        </is>
      </c>
      <c r="B9" s="12" t="inlineStr">
        <is>
          <t>Bind</t>
        </is>
      </c>
      <c r="C9" s="12" t="inlineStr">
        <is>
          <t>B</t>
        </is>
      </c>
      <c r="D9" s="12" t="inlineStr">
        <is>
          <t>def</t>
        </is>
      </c>
      <c r="E9" s="12" t="n">
        <v>15</v>
      </c>
      <c r="F9" s="12" t="n">
        <v>6</v>
      </c>
      <c r="G9" s="12" t="n">
        <v>9</v>
      </c>
      <c r="H9" s="12" t="n">
        <v>40</v>
      </c>
      <c r="I9" s="12" t="inlineStr">
        <is>
          <t>Barça eSports_Bind</t>
        </is>
      </c>
    </row>
    <row r="10">
      <c r="A10" s="8" t="inlineStr">
        <is>
          <t>Barça eSports</t>
        </is>
      </c>
      <c r="B10" s="8" t="inlineStr">
        <is>
          <t>Breeze</t>
        </is>
      </c>
      <c r="C10" s="8" t="inlineStr">
        <is>
          <t>A</t>
        </is>
      </c>
      <c r="D10" s="8" t="inlineStr">
        <is>
          <t>def</t>
        </is>
      </c>
      <c r="E10" s="8" t="n">
        <v>8</v>
      </c>
      <c r="F10" s="8" t="n">
        <v>3</v>
      </c>
      <c r="G10" s="8" t="n">
        <v>5</v>
      </c>
      <c r="H10" s="8" t="n">
        <v>37.5</v>
      </c>
      <c r="I10" s="8" t="inlineStr">
        <is>
          <t>Barça eSports_Breeze</t>
        </is>
      </c>
    </row>
    <row r="11">
      <c r="A11" s="12" t="inlineStr">
        <is>
          <t>Barça eSports</t>
        </is>
      </c>
      <c r="B11" s="12" t="inlineStr">
        <is>
          <t>Breeze</t>
        </is>
      </c>
      <c r="C11" s="12" t="inlineStr">
        <is>
          <t>A</t>
        </is>
      </c>
      <c r="D11" s="12" t="inlineStr">
        <is>
          <t>atk</t>
        </is>
      </c>
      <c r="E11" s="12" t="n">
        <v>10</v>
      </c>
      <c r="F11" s="12" t="n">
        <v>9</v>
      </c>
      <c r="G11" s="12" t="n">
        <v>1</v>
      </c>
      <c r="H11" s="12" t="n">
        <v>90</v>
      </c>
      <c r="I11" s="12" t="inlineStr">
        <is>
          <t>Barça eSports_Breeze</t>
        </is>
      </c>
    </row>
    <row r="12">
      <c r="A12" s="8" t="inlineStr">
        <is>
          <t>Barça eSports</t>
        </is>
      </c>
      <c r="B12" s="8" t="inlineStr">
        <is>
          <t>Breeze</t>
        </is>
      </c>
      <c r="C12" s="8" t="inlineStr">
        <is>
          <t>B</t>
        </is>
      </c>
      <c r="D12" s="8" t="inlineStr">
        <is>
          <t>def</t>
        </is>
      </c>
      <c r="E12" s="8" t="n">
        <v>8</v>
      </c>
      <c r="F12" s="8" t="n">
        <v>3</v>
      </c>
      <c r="G12" s="8" t="n">
        <v>5</v>
      </c>
      <c r="H12" s="8" t="n">
        <v>37.5</v>
      </c>
      <c r="I12" s="8" t="inlineStr">
        <is>
          <t>Barça eSports_Breeze</t>
        </is>
      </c>
    </row>
    <row r="13">
      <c r="A13" s="12" t="inlineStr">
        <is>
          <t>Barça eSports</t>
        </is>
      </c>
      <c r="B13" s="12" t="inlineStr">
        <is>
          <t>Breeze</t>
        </is>
      </c>
      <c r="C13" s="12" t="inlineStr">
        <is>
          <t>B</t>
        </is>
      </c>
      <c r="D13" s="12" t="inlineStr">
        <is>
          <t>atk</t>
        </is>
      </c>
      <c r="E13" s="12" t="n">
        <v>8</v>
      </c>
      <c r="F13" s="12" t="n">
        <v>5</v>
      </c>
      <c r="G13" s="12" t="n">
        <v>3</v>
      </c>
      <c r="H13" s="12" t="n">
        <v>62.5</v>
      </c>
      <c r="I13" s="12" t="inlineStr">
        <is>
          <t>Barça eSports_Breeze</t>
        </is>
      </c>
    </row>
    <row r="14">
      <c r="A14" s="8" t="inlineStr">
        <is>
          <t>Barça eSports</t>
        </is>
      </c>
      <c r="B14" s="8" t="inlineStr">
        <is>
          <t>Corrode</t>
        </is>
      </c>
      <c r="C14" s="8" t="inlineStr">
        <is>
          <t>A</t>
        </is>
      </c>
      <c r="D14" s="8" t="inlineStr">
        <is>
          <t>def</t>
        </is>
      </c>
      <c r="E14" s="8" t="n">
        <v>7</v>
      </c>
      <c r="F14" s="8" t="n">
        <v>1</v>
      </c>
      <c r="G14" s="8" t="n">
        <v>6</v>
      </c>
      <c r="H14" s="8" t="n">
        <v>14.29</v>
      </c>
      <c r="I14" s="8" t="inlineStr">
        <is>
          <t>Barça eSports_Corrode</t>
        </is>
      </c>
    </row>
    <row r="15">
      <c r="A15" s="12" t="inlineStr">
        <is>
          <t>Barça eSports</t>
        </is>
      </c>
      <c r="B15" s="12" t="inlineStr">
        <is>
          <t>Corrode</t>
        </is>
      </c>
      <c r="C15" s="12" t="inlineStr">
        <is>
          <t>A</t>
        </is>
      </c>
      <c r="D15" s="12" t="inlineStr">
        <is>
          <t>atk</t>
        </is>
      </c>
      <c r="E15" s="12" t="n">
        <v>13</v>
      </c>
      <c r="F15" s="12" t="n">
        <v>8</v>
      </c>
      <c r="G15" s="12" t="n">
        <v>5</v>
      </c>
      <c r="H15" s="12" t="n">
        <v>61.54</v>
      </c>
      <c r="I15" s="12" t="inlineStr">
        <is>
          <t>Barça eSports_Corrode</t>
        </is>
      </c>
    </row>
    <row r="16">
      <c r="A16" s="8" t="inlineStr">
        <is>
          <t>Barça eSports</t>
        </is>
      </c>
      <c r="B16" s="8" t="inlineStr">
        <is>
          <t>Corrode</t>
        </is>
      </c>
      <c r="C16" s="8" t="inlineStr">
        <is>
          <t>B</t>
        </is>
      </c>
      <c r="D16" s="8" t="inlineStr">
        <is>
          <t>def</t>
        </is>
      </c>
      <c r="E16" s="8" t="n">
        <v>2</v>
      </c>
      <c r="F16" s="8" t="n">
        <v>1</v>
      </c>
      <c r="G16" s="8" t="n">
        <v>1</v>
      </c>
      <c r="H16" s="8" t="n">
        <v>50</v>
      </c>
      <c r="I16" s="8" t="inlineStr">
        <is>
          <t>Barça eSports_Corrode</t>
        </is>
      </c>
    </row>
    <row r="17">
      <c r="A17" s="12" t="inlineStr">
        <is>
          <t>Barça eSports</t>
        </is>
      </c>
      <c r="B17" s="12" t="inlineStr">
        <is>
          <t>Corrode</t>
        </is>
      </c>
      <c r="C17" s="12" t="inlineStr">
        <is>
          <t>B</t>
        </is>
      </c>
      <c r="D17" s="12" t="inlineStr">
        <is>
          <t>atk</t>
        </is>
      </c>
      <c r="E17" s="12" t="n">
        <v>3</v>
      </c>
      <c r="F17" s="12" t="n">
        <v>1</v>
      </c>
      <c r="G17" s="12" t="n">
        <v>2</v>
      </c>
      <c r="H17" s="12" t="n">
        <v>33.33</v>
      </c>
      <c r="I17" s="12" t="inlineStr">
        <is>
          <t>Barça eSports_Corrode</t>
        </is>
      </c>
    </row>
    <row r="18">
      <c r="A18" s="8" t="inlineStr">
        <is>
          <t>Barça eSports</t>
        </is>
      </c>
      <c r="B18" s="8" t="inlineStr">
        <is>
          <t>Haven</t>
        </is>
      </c>
      <c r="C18" s="8" t="inlineStr">
        <is>
          <t>A</t>
        </is>
      </c>
      <c r="D18" s="8" t="inlineStr">
        <is>
          <t>def</t>
        </is>
      </c>
      <c r="E18" s="8" t="n">
        <v>19</v>
      </c>
      <c r="F18" s="8" t="n">
        <v>9</v>
      </c>
      <c r="G18" s="8" t="n">
        <v>10</v>
      </c>
      <c r="H18" s="8" t="n">
        <v>47.37</v>
      </c>
      <c r="I18" s="8" t="inlineStr">
        <is>
          <t>Barça eSports_Haven</t>
        </is>
      </c>
    </row>
    <row r="19">
      <c r="A19" s="12" t="inlineStr">
        <is>
          <t>Barça eSports</t>
        </is>
      </c>
      <c r="B19" s="12" t="inlineStr">
        <is>
          <t>Haven</t>
        </is>
      </c>
      <c r="C19" s="12" t="inlineStr">
        <is>
          <t>A</t>
        </is>
      </c>
      <c r="D19" s="12" t="inlineStr">
        <is>
          <t>atk</t>
        </is>
      </c>
      <c r="E19" s="12" t="n">
        <v>9</v>
      </c>
      <c r="F19" s="12" t="n">
        <v>8</v>
      </c>
      <c r="G19" s="12" t="n">
        <v>1</v>
      </c>
      <c r="H19" s="12" t="n">
        <v>88.89</v>
      </c>
      <c r="I19" s="12" t="inlineStr">
        <is>
          <t>Barça eSports_Haven</t>
        </is>
      </c>
    </row>
    <row r="20">
      <c r="A20" s="8" t="inlineStr">
        <is>
          <t>Barça eSports</t>
        </is>
      </c>
      <c r="B20" s="8" t="inlineStr">
        <is>
          <t>Haven</t>
        </is>
      </c>
      <c r="C20" s="8" t="inlineStr">
        <is>
          <t>B</t>
        </is>
      </c>
      <c r="D20" s="8" t="inlineStr">
        <is>
          <t>def</t>
        </is>
      </c>
      <c r="E20" s="8" t="n">
        <v>10</v>
      </c>
      <c r="F20" s="8" t="n">
        <v>4</v>
      </c>
      <c r="G20" s="8" t="n">
        <v>6</v>
      </c>
      <c r="H20" s="8" t="n">
        <v>40</v>
      </c>
      <c r="I20" s="8" t="inlineStr">
        <is>
          <t>Barça eSports_Haven</t>
        </is>
      </c>
    </row>
    <row r="21">
      <c r="A21" s="12" t="inlineStr">
        <is>
          <t>Barça eSports</t>
        </is>
      </c>
      <c r="B21" s="12" t="inlineStr">
        <is>
          <t>Haven</t>
        </is>
      </c>
      <c r="C21" s="12" t="inlineStr">
        <is>
          <t>B</t>
        </is>
      </c>
      <c r="D21" s="12" t="inlineStr">
        <is>
          <t>atk</t>
        </is>
      </c>
      <c r="E21" s="12" t="n">
        <v>6</v>
      </c>
      <c r="F21" s="12" t="n">
        <v>4</v>
      </c>
      <c r="G21" s="12" t="n">
        <v>2</v>
      </c>
      <c r="H21" s="12" t="n">
        <v>66.67</v>
      </c>
      <c r="I21" s="12" t="inlineStr">
        <is>
          <t>Barça eSports_Haven</t>
        </is>
      </c>
    </row>
    <row r="22">
      <c r="A22" s="8" t="inlineStr">
        <is>
          <t>Barça eSports</t>
        </is>
      </c>
      <c r="B22" s="8" t="inlineStr">
        <is>
          <t>Haven</t>
        </is>
      </c>
      <c r="C22" s="8" t="inlineStr">
        <is>
          <t>C</t>
        </is>
      </c>
      <c r="D22" s="8" t="inlineStr">
        <is>
          <t>def</t>
        </is>
      </c>
      <c r="E22" s="8" t="n">
        <v>13</v>
      </c>
      <c r="F22" s="8" t="n">
        <v>9</v>
      </c>
      <c r="G22" s="8" t="n">
        <v>4</v>
      </c>
      <c r="H22" s="8" t="n">
        <v>69.23</v>
      </c>
      <c r="I22" s="8" t="inlineStr">
        <is>
          <t>Barça eSports_Haven</t>
        </is>
      </c>
    </row>
    <row r="23">
      <c r="A23" s="12" t="inlineStr">
        <is>
          <t>Barça eSports</t>
        </is>
      </c>
      <c r="B23" s="12" t="inlineStr">
        <is>
          <t>Haven</t>
        </is>
      </c>
      <c r="C23" s="12" t="inlineStr">
        <is>
          <t>C</t>
        </is>
      </c>
      <c r="D23" s="12" t="inlineStr">
        <is>
          <t>atk</t>
        </is>
      </c>
      <c r="E23" s="12" t="n">
        <v>3</v>
      </c>
      <c r="F23" s="12" t="n">
        <v>3</v>
      </c>
      <c r="G23" s="12" t="n">
        <v>0</v>
      </c>
      <c r="H23" s="12" t="n">
        <v>100</v>
      </c>
      <c r="I23" s="12" t="inlineStr">
        <is>
          <t>Barça eSports_Haven</t>
        </is>
      </c>
    </row>
    <row r="24">
      <c r="A24" s="8" t="inlineStr">
        <is>
          <t>Barça eSports</t>
        </is>
      </c>
      <c r="B24" s="8" t="inlineStr">
        <is>
          <t>Pearl</t>
        </is>
      </c>
      <c r="C24" s="8" t="inlineStr">
        <is>
          <t>A</t>
        </is>
      </c>
      <c r="D24" s="8" t="inlineStr">
        <is>
          <t>atk</t>
        </is>
      </c>
      <c r="E24" s="8" t="n">
        <v>22</v>
      </c>
      <c r="F24" s="8" t="n">
        <v>12</v>
      </c>
      <c r="G24" s="8" t="n">
        <v>10</v>
      </c>
      <c r="H24" s="8" t="n">
        <v>54.55</v>
      </c>
      <c r="I24" s="8" t="inlineStr">
        <is>
          <t>Barça eSports_Pearl</t>
        </is>
      </c>
    </row>
    <row r="25">
      <c r="A25" s="12" t="inlineStr">
        <is>
          <t>Barça eSports</t>
        </is>
      </c>
      <c r="B25" s="12" t="inlineStr">
        <is>
          <t>Pearl</t>
        </is>
      </c>
      <c r="C25" s="12" t="inlineStr">
        <is>
          <t>A</t>
        </is>
      </c>
      <c r="D25" s="12" t="inlineStr">
        <is>
          <t>def</t>
        </is>
      </c>
      <c r="E25" s="12" t="n">
        <v>26</v>
      </c>
      <c r="F25" s="12" t="n">
        <v>12</v>
      </c>
      <c r="G25" s="12" t="n">
        <v>14</v>
      </c>
      <c r="H25" s="12" t="n">
        <v>46.15</v>
      </c>
      <c r="I25" s="12" t="inlineStr">
        <is>
          <t>Barça eSports_Pearl</t>
        </is>
      </c>
    </row>
    <row r="26">
      <c r="A26" s="8" t="inlineStr">
        <is>
          <t>Barça eSports</t>
        </is>
      </c>
      <c r="B26" s="8" t="inlineStr">
        <is>
          <t>Pearl</t>
        </is>
      </c>
      <c r="C26" s="8" t="inlineStr">
        <is>
          <t>B</t>
        </is>
      </c>
      <c r="D26" s="8" t="inlineStr">
        <is>
          <t>atk</t>
        </is>
      </c>
      <c r="E26" s="8" t="n">
        <v>11</v>
      </c>
      <c r="F26" s="8" t="n">
        <v>7</v>
      </c>
      <c r="G26" s="8" t="n">
        <v>4</v>
      </c>
      <c r="H26" s="8" t="n">
        <v>63.64</v>
      </c>
      <c r="I26" s="8" t="inlineStr">
        <is>
          <t>Barça eSports_Pearl</t>
        </is>
      </c>
    </row>
    <row r="27">
      <c r="A27" s="12" t="inlineStr">
        <is>
          <t>Barça eSports</t>
        </is>
      </c>
      <c r="B27" s="12" t="inlineStr">
        <is>
          <t>Pearl</t>
        </is>
      </c>
      <c r="C27" s="12" t="inlineStr">
        <is>
          <t>B</t>
        </is>
      </c>
      <c r="D27" s="12" t="inlineStr">
        <is>
          <t>def</t>
        </is>
      </c>
      <c r="E27" s="12" t="n">
        <v>13</v>
      </c>
      <c r="F27" s="12" t="n">
        <v>7</v>
      </c>
      <c r="G27" s="12" t="n">
        <v>6</v>
      </c>
      <c r="H27" s="12" t="n">
        <v>53.85</v>
      </c>
      <c r="I27" s="12" t="inlineStr">
        <is>
          <t>Barça eSports_Pearl</t>
        </is>
      </c>
    </row>
    <row r="28">
      <c r="A28" s="8" t="inlineStr">
        <is>
          <t>Barça eSports</t>
        </is>
      </c>
      <c r="B28" s="8" t="inlineStr">
        <is>
          <t>Split</t>
        </is>
      </c>
      <c r="C28" s="8" t="inlineStr">
        <is>
          <t>A</t>
        </is>
      </c>
      <c r="D28" s="8" t="inlineStr">
        <is>
          <t>atk</t>
        </is>
      </c>
      <c r="E28" s="8" t="n">
        <v>36</v>
      </c>
      <c r="F28" s="8" t="n">
        <v>26</v>
      </c>
      <c r="G28" s="8" t="n">
        <v>10</v>
      </c>
      <c r="H28" s="8" t="n">
        <v>72.22</v>
      </c>
      <c r="I28" s="8" t="inlineStr">
        <is>
          <t>Barça eSports_Split</t>
        </is>
      </c>
    </row>
    <row r="29">
      <c r="A29" s="12" t="inlineStr">
        <is>
          <t>Barça eSports</t>
        </is>
      </c>
      <c r="B29" s="12" t="inlineStr">
        <is>
          <t>Split</t>
        </is>
      </c>
      <c r="C29" s="12" t="inlineStr">
        <is>
          <t>A</t>
        </is>
      </c>
      <c r="D29" s="12" t="inlineStr">
        <is>
          <t>def</t>
        </is>
      </c>
      <c r="E29" s="12" t="n">
        <v>36</v>
      </c>
      <c r="F29" s="12" t="n">
        <v>15</v>
      </c>
      <c r="G29" s="12" t="n">
        <v>21</v>
      </c>
      <c r="H29" s="12" t="n">
        <v>41.67</v>
      </c>
      <c r="I29" s="12" t="inlineStr">
        <is>
          <t>Barça eSports_Split</t>
        </is>
      </c>
    </row>
    <row r="30">
      <c r="A30" s="8" t="inlineStr">
        <is>
          <t>Barça eSports</t>
        </is>
      </c>
      <c r="B30" s="8" t="inlineStr">
        <is>
          <t>Split</t>
        </is>
      </c>
      <c r="C30" s="8" t="inlineStr">
        <is>
          <t>B</t>
        </is>
      </c>
      <c r="D30" s="8" t="inlineStr">
        <is>
          <t>atk</t>
        </is>
      </c>
      <c r="E30" s="8" t="n">
        <v>24</v>
      </c>
      <c r="F30" s="8" t="n">
        <v>19</v>
      </c>
      <c r="G30" s="8" t="n">
        <v>5</v>
      </c>
      <c r="H30" s="8" t="n">
        <v>79.17</v>
      </c>
      <c r="I30" s="8" t="inlineStr">
        <is>
          <t>Barça eSports_Split</t>
        </is>
      </c>
    </row>
    <row r="31">
      <c r="A31" s="12" t="inlineStr">
        <is>
          <t>Barça eSports</t>
        </is>
      </c>
      <c r="B31" s="12" t="inlineStr">
        <is>
          <t>Split</t>
        </is>
      </c>
      <c r="C31" s="12" t="inlineStr">
        <is>
          <t>B</t>
        </is>
      </c>
      <c r="D31" s="12" t="inlineStr">
        <is>
          <t>def</t>
        </is>
      </c>
      <c r="E31" s="12" t="n">
        <v>37</v>
      </c>
      <c r="F31" s="12" t="n">
        <v>9</v>
      </c>
      <c r="G31" s="12" t="n">
        <v>28</v>
      </c>
      <c r="H31" s="12" t="n">
        <v>24.32</v>
      </c>
      <c r="I31" s="12" t="inlineStr">
        <is>
          <t>Barça eSports_Split</t>
        </is>
      </c>
    </row>
    <row r="32">
      <c r="A32" s="8" t="inlineStr">
        <is>
          <t>Eintracht Frankfurt</t>
        </is>
      </c>
      <c r="B32" s="8" t="inlineStr">
        <is>
          <t>Abyss</t>
        </is>
      </c>
      <c r="C32" s="8" t="inlineStr">
        <is>
          <t>A</t>
        </is>
      </c>
      <c r="D32" s="8" t="inlineStr">
        <is>
          <t>atk</t>
        </is>
      </c>
      <c r="E32" s="8" t="n">
        <v>24</v>
      </c>
      <c r="F32" s="8" t="n">
        <v>20</v>
      </c>
      <c r="G32" s="8" t="n">
        <v>4</v>
      </c>
      <c r="H32" s="8" t="n">
        <v>83.33</v>
      </c>
      <c r="I32" s="8" t="inlineStr">
        <is>
          <t>Eintracht Frankfurt_Abyss</t>
        </is>
      </c>
    </row>
    <row r="33">
      <c r="A33" s="12" t="inlineStr">
        <is>
          <t>Eintracht Frankfurt</t>
        </is>
      </c>
      <c r="B33" s="12" t="inlineStr">
        <is>
          <t>Abyss</t>
        </is>
      </c>
      <c r="C33" s="12" t="inlineStr">
        <is>
          <t>A</t>
        </is>
      </c>
      <c r="D33" s="12" t="inlineStr">
        <is>
          <t>def</t>
        </is>
      </c>
      <c r="E33" s="12" t="n">
        <v>26</v>
      </c>
      <c r="F33" s="12" t="n">
        <v>8</v>
      </c>
      <c r="G33" s="12" t="n">
        <v>18</v>
      </c>
      <c r="H33" s="12" t="n">
        <v>30.77</v>
      </c>
      <c r="I33" s="12" t="inlineStr">
        <is>
          <t>Eintracht Frankfurt_Abyss</t>
        </is>
      </c>
    </row>
    <row r="34">
      <c r="A34" s="8" t="inlineStr">
        <is>
          <t>Eintracht Frankfurt</t>
        </is>
      </c>
      <c r="B34" s="8" t="inlineStr">
        <is>
          <t>Abyss</t>
        </is>
      </c>
      <c r="C34" s="8" t="inlineStr">
        <is>
          <t>B</t>
        </is>
      </c>
      <c r="D34" s="8" t="inlineStr">
        <is>
          <t>atk</t>
        </is>
      </c>
      <c r="E34" s="8" t="n">
        <v>36</v>
      </c>
      <c r="F34" s="8" t="n">
        <v>23</v>
      </c>
      <c r="G34" s="8" t="n">
        <v>13</v>
      </c>
      <c r="H34" s="8" t="n">
        <v>63.89</v>
      </c>
      <c r="I34" s="8" t="inlineStr">
        <is>
          <t>Eintracht Frankfurt_Abyss</t>
        </is>
      </c>
    </row>
    <row r="35">
      <c r="A35" s="12" t="inlineStr">
        <is>
          <t>Eintracht Frankfurt</t>
        </is>
      </c>
      <c r="B35" s="12" t="inlineStr">
        <is>
          <t>Abyss</t>
        </is>
      </c>
      <c r="C35" s="12" t="inlineStr">
        <is>
          <t>B</t>
        </is>
      </c>
      <c r="D35" s="12" t="inlineStr">
        <is>
          <t>def</t>
        </is>
      </c>
      <c r="E35" s="12" t="n">
        <v>25</v>
      </c>
      <c r="F35" s="12" t="n">
        <v>8</v>
      </c>
      <c r="G35" s="12" t="n">
        <v>17</v>
      </c>
      <c r="H35" s="12" t="n">
        <v>32</v>
      </c>
      <c r="I35" s="12" t="inlineStr">
        <is>
          <t>Eintracht Frankfurt_Abyss</t>
        </is>
      </c>
    </row>
    <row r="36">
      <c r="A36" s="8" t="inlineStr">
        <is>
          <t>Eintracht Frankfurt</t>
        </is>
      </c>
      <c r="B36" s="8" t="inlineStr">
        <is>
          <t>Bind</t>
        </is>
      </c>
      <c r="C36" s="8" t="inlineStr">
        <is>
          <t>A</t>
        </is>
      </c>
      <c r="D36" s="8" t="inlineStr">
        <is>
          <t>atk</t>
        </is>
      </c>
      <c r="E36" s="8" t="n">
        <v>36</v>
      </c>
      <c r="F36" s="8" t="n">
        <v>24</v>
      </c>
      <c r="G36" s="8" t="n">
        <v>12</v>
      </c>
      <c r="H36" s="8" t="n">
        <v>66.67</v>
      </c>
      <c r="I36" s="8" t="inlineStr">
        <is>
          <t>Eintracht Frankfurt_Bind</t>
        </is>
      </c>
    </row>
    <row r="37">
      <c r="A37" s="12" t="inlineStr">
        <is>
          <t>Eintracht Frankfurt</t>
        </is>
      </c>
      <c r="B37" s="12" t="inlineStr">
        <is>
          <t>Bind</t>
        </is>
      </c>
      <c r="C37" s="12" t="inlineStr">
        <is>
          <t>A</t>
        </is>
      </c>
      <c r="D37" s="12" t="inlineStr">
        <is>
          <t>def</t>
        </is>
      </c>
      <c r="E37" s="12" t="n">
        <v>39</v>
      </c>
      <c r="F37" s="12" t="n">
        <v>18</v>
      </c>
      <c r="G37" s="12" t="n">
        <v>21</v>
      </c>
      <c r="H37" s="12" t="n">
        <v>46.15</v>
      </c>
      <c r="I37" s="12" t="inlineStr">
        <is>
          <t>Eintracht Frankfurt_Bind</t>
        </is>
      </c>
    </row>
    <row r="38">
      <c r="A38" s="8" t="inlineStr">
        <is>
          <t>Eintracht Frankfurt</t>
        </is>
      </c>
      <c r="B38" s="8" t="inlineStr">
        <is>
          <t>Bind</t>
        </is>
      </c>
      <c r="C38" s="8" t="inlineStr">
        <is>
          <t>B</t>
        </is>
      </c>
      <c r="D38" s="8" t="inlineStr">
        <is>
          <t>atk</t>
        </is>
      </c>
      <c r="E38" s="8" t="n">
        <v>24</v>
      </c>
      <c r="F38" s="8" t="n">
        <v>17</v>
      </c>
      <c r="G38" s="8" t="n">
        <v>7</v>
      </c>
      <c r="H38" s="8" t="n">
        <v>70.83</v>
      </c>
      <c r="I38" s="8" t="inlineStr">
        <is>
          <t>Eintracht Frankfurt_Bind</t>
        </is>
      </c>
    </row>
    <row r="39">
      <c r="A39" s="12" t="inlineStr">
        <is>
          <t>Eintracht Frankfurt</t>
        </is>
      </c>
      <c r="B39" s="12" t="inlineStr">
        <is>
          <t>Bind</t>
        </is>
      </c>
      <c r="C39" s="12" t="inlineStr">
        <is>
          <t>B</t>
        </is>
      </c>
      <c r="D39" s="12" t="inlineStr">
        <is>
          <t>def</t>
        </is>
      </c>
      <c r="E39" s="12" t="n">
        <v>28</v>
      </c>
      <c r="F39" s="12" t="n">
        <v>11</v>
      </c>
      <c r="G39" s="12" t="n">
        <v>17</v>
      </c>
      <c r="H39" s="12" t="n">
        <v>39.29</v>
      </c>
      <c r="I39" s="12" t="inlineStr">
        <is>
          <t>Eintracht Frankfurt_Bind</t>
        </is>
      </c>
    </row>
    <row r="40">
      <c r="A40" s="8" t="inlineStr">
        <is>
          <t>Eintracht Frankfurt</t>
        </is>
      </c>
      <c r="B40" s="8" t="inlineStr">
        <is>
          <t>Breeze</t>
        </is>
      </c>
      <c r="C40" s="8" t="inlineStr">
        <is>
          <t>A</t>
        </is>
      </c>
      <c r="D40" s="8" t="inlineStr">
        <is>
          <t>atk</t>
        </is>
      </c>
      <c r="E40" s="8" t="n">
        <v>28</v>
      </c>
      <c r="F40" s="8" t="n">
        <v>22</v>
      </c>
      <c r="G40" s="8" t="n">
        <v>6</v>
      </c>
      <c r="H40" s="8" t="n">
        <v>78.56999999999999</v>
      </c>
      <c r="I40" s="8" t="inlineStr">
        <is>
          <t>Eintracht Frankfurt_Breeze</t>
        </is>
      </c>
    </row>
    <row r="41">
      <c r="A41" s="12" t="inlineStr">
        <is>
          <t>Eintracht Frankfurt</t>
        </is>
      </c>
      <c r="B41" s="12" t="inlineStr">
        <is>
          <t>Breeze</t>
        </is>
      </c>
      <c r="C41" s="12" t="inlineStr">
        <is>
          <t>A</t>
        </is>
      </c>
      <c r="D41" s="12" t="inlineStr">
        <is>
          <t>def</t>
        </is>
      </c>
      <c r="E41" s="12" t="n">
        <v>20</v>
      </c>
      <c r="F41" s="12" t="n">
        <v>7</v>
      </c>
      <c r="G41" s="12" t="n">
        <v>13</v>
      </c>
      <c r="H41" s="12" t="n">
        <v>35</v>
      </c>
      <c r="I41" s="12" t="inlineStr">
        <is>
          <t>Eintracht Frankfurt_Breeze</t>
        </is>
      </c>
    </row>
    <row r="42">
      <c r="A42" s="8" t="inlineStr">
        <is>
          <t>Eintracht Frankfurt</t>
        </is>
      </c>
      <c r="B42" s="8" t="inlineStr">
        <is>
          <t>Breeze</t>
        </is>
      </c>
      <c r="C42" s="8" t="inlineStr">
        <is>
          <t>B</t>
        </is>
      </c>
      <c r="D42" s="8" t="inlineStr">
        <is>
          <t>atk</t>
        </is>
      </c>
      <c r="E42" s="8" t="n">
        <v>25</v>
      </c>
      <c r="F42" s="8" t="n">
        <v>21</v>
      </c>
      <c r="G42" s="8" t="n">
        <v>4</v>
      </c>
      <c r="H42" s="8" t="n">
        <v>84</v>
      </c>
      <c r="I42" s="8" t="inlineStr">
        <is>
          <t>Eintracht Frankfurt_Breeze</t>
        </is>
      </c>
    </row>
    <row r="43">
      <c r="A43" s="12" t="inlineStr">
        <is>
          <t>Eintracht Frankfurt</t>
        </is>
      </c>
      <c r="B43" s="12" t="inlineStr">
        <is>
          <t>Breeze</t>
        </is>
      </c>
      <c r="C43" s="12" t="inlineStr">
        <is>
          <t>B</t>
        </is>
      </c>
      <c r="D43" s="12" t="inlineStr">
        <is>
          <t>def</t>
        </is>
      </c>
      <c r="E43" s="12" t="n">
        <v>15</v>
      </c>
      <c r="F43" s="12" t="n">
        <v>5</v>
      </c>
      <c r="G43" s="12" t="n">
        <v>10</v>
      </c>
      <c r="H43" s="12" t="n">
        <v>33.33</v>
      </c>
      <c r="I43" s="12" t="inlineStr">
        <is>
          <t>Eintracht Frankfurt_Breeze</t>
        </is>
      </c>
    </row>
    <row r="44">
      <c r="A44" s="8" t="inlineStr">
        <is>
          <t>Eintracht Frankfurt</t>
        </is>
      </c>
      <c r="B44" s="8" t="inlineStr">
        <is>
          <t>Corrode</t>
        </is>
      </c>
      <c r="C44" s="8" t="inlineStr">
        <is>
          <t>A</t>
        </is>
      </c>
      <c r="D44" s="8" t="inlineStr">
        <is>
          <t>def</t>
        </is>
      </c>
      <c r="E44" s="8" t="n">
        <v>17</v>
      </c>
      <c r="F44" s="8" t="n">
        <v>4</v>
      </c>
      <c r="G44" s="8" t="n">
        <v>13</v>
      </c>
      <c r="H44" s="8" t="n">
        <v>23.53</v>
      </c>
      <c r="I44" s="8" t="inlineStr">
        <is>
          <t>Eintracht Frankfurt_Corrode</t>
        </is>
      </c>
    </row>
    <row r="45">
      <c r="A45" s="12" t="inlineStr">
        <is>
          <t>Eintracht Frankfurt</t>
        </is>
      </c>
      <c r="B45" s="12" t="inlineStr">
        <is>
          <t>Corrode</t>
        </is>
      </c>
      <c r="C45" s="12" t="inlineStr">
        <is>
          <t>A</t>
        </is>
      </c>
      <c r="D45" s="12" t="inlineStr">
        <is>
          <t>atk</t>
        </is>
      </c>
      <c r="E45" s="12" t="n">
        <v>15</v>
      </c>
      <c r="F45" s="12" t="n">
        <v>10</v>
      </c>
      <c r="G45" s="12" t="n">
        <v>5</v>
      </c>
      <c r="H45" s="12" t="n">
        <v>66.67</v>
      </c>
      <c r="I45" s="12" t="inlineStr">
        <is>
          <t>Eintracht Frankfurt_Corrode</t>
        </is>
      </c>
    </row>
    <row r="46">
      <c r="A46" s="8" t="inlineStr">
        <is>
          <t>Eintracht Frankfurt</t>
        </is>
      </c>
      <c r="B46" s="8" t="inlineStr">
        <is>
          <t>Corrode</t>
        </is>
      </c>
      <c r="C46" s="8" t="inlineStr">
        <is>
          <t>B</t>
        </is>
      </c>
      <c r="D46" s="8" t="inlineStr">
        <is>
          <t>def</t>
        </is>
      </c>
      <c r="E46" s="8" t="n">
        <v>15</v>
      </c>
      <c r="F46" s="8" t="n">
        <v>6</v>
      </c>
      <c r="G46" s="8" t="n">
        <v>9</v>
      </c>
      <c r="H46" s="8" t="n">
        <v>40</v>
      </c>
      <c r="I46" s="8" t="inlineStr">
        <is>
          <t>Eintracht Frankfurt_Corrode</t>
        </is>
      </c>
    </row>
    <row r="47">
      <c r="A47" s="12" t="inlineStr">
        <is>
          <t>Eintracht Frankfurt</t>
        </is>
      </c>
      <c r="B47" s="12" t="inlineStr">
        <is>
          <t>Corrode</t>
        </is>
      </c>
      <c r="C47" s="12" t="inlineStr">
        <is>
          <t>B</t>
        </is>
      </c>
      <c r="D47" s="12" t="inlineStr">
        <is>
          <t>atk</t>
        </is>
      </c>
      <c r="E47" s="12" t="n">
        <v>14</v>
      </c>
      <c r="F47" s="12" t="n">
        <v>10</v>
      </c>
      <c r="G47" s="12" t="n">
        <v>4</v>
      </c>
      <c r="H47" s="12" t="n">
        <v>71.43000000000001</v>
      </c>
      <c r="I47" s="12" t="inlineStr">
        <is>
          <t>Eintracht Frankfurt_Corrode</t>
        </is>
      </c>
    </row>
    <row r="48">
      <c r="A48" s="8" t="inlineStr">
        <is>
          <t>Eintracht Frankfurt</t>
        </is>
      </c>
      <c r="B48" s="8" t="inlineStr">
        <is>
          <t>Haven</t>
        </is>
      </c>
      <c r="C48" s="8" t="inlineStr">
        <is>
          <t>A</t>
        </is>
      </c>
      <c r="D48" s="8" t="inlineStr">
        <is>
          <t>def</t>
        </is>
      </c>
      <c r="E48" s="8" t="n">
        <v>22</v>
      </c>
      <c r="F48" s="8" t="n">
        <v>9</v>
      </c>
      <c r="G48" s="8" t="n">
        <v>13</v>
      </c>
      <c r="H48" s="8" t="n">
        <v>40.91</v>
      </c>
      <c r="I48" s="8" t="inlineStr">
        <is>
          <t>Eintracht Frankfurt_Haven</t>
        </is>
      </c>
    </row>
    <row r="49">
      <c r="A49" s="12" t="inlineStr">
        <is>
          <t>Eintracht Frankfurt</t>
        </is>
      </c>
      <c r="B49" s="12" t="inlineStr">
        <is>
          <t>Haven</t>
        </is>
      </c>
      <c r="C49" s="12" t="inlineStr">
        <is>
          <t>A</t>
        </is>
      </c>
      <c r="D49" s="12" t="inlineStr">
        <is>
          <t>atk</t>
        </is>
      </c>
      <c r="E49" s="12" t="n">
        <v>21</v>
      </c>
      <c r="F49" s="12" t="n">
        <v>21</v>
      </c>
      <c r="G49" s="12" t="n">
        <v>0</v>
      </c>
      <c r="H49" s="12" t="n">
        <v>100</v>
      </c>
      <c r="I49" s="12" t="inlineStr">
        <is>
          <t>Eintracht Frankfurt_Haven</t>
        </is>
      </c>
    </row>
    <row r="50">
      <c r="A50" s="8" t="inlineStr">
        <is>
          <t>Eintracht Frankfurt</t>
        </is>
      </c>
      <c r="B50" s="8" t="inlineStr">
        <is>
          <t>Haven</t>
        </is>
      </c>
      <c r="C50" s="8" t="inlineStr">
        <is>
          <t>B</t>
        </is>
      </c>
      <c r="D50" s="8" t="inlineStr">
        <is>
          <t>def</t>
        </is>
      </c>
      <c r="E50" s="8" t="n">
        <v>11</v>
      </c>
      <c r="F50" s="8" t="n">
        <v>6</v>
      </c>
      <c r="G50" s="8" t="n">
        <v>5</v>
      </c>
      <c r="H50" s="8" t="n">
        <v>54.55</v>
      </c>
      <c r="I50" s="8" t="inlineStr">
        <is>
          <t>Eintracht Frankfurt_Haven</t>
        </is>
      </c>
    </row>
    <row r="51">
      <c r="A51" s="12" t="inlineStr">
        <is>
          <t>Eintracht Frankfurt</t>
        </is>
      </c>
      <c r="B51" s="12" t="inlineStr">
        <is>
          <t>Haven</t>
        </is>
      </c>
      <c r="C51" s="12" t="inlineStr">
        <is>
          <t>B</t>
        </is>
      </c>
      <c r="D51" s="12" t="inlineStr">
        <is>
          <t>atk</t>
        </is>
      </c>
      <c r="E51" s="12" t="n">
        <v>6</v>
      </c>
      <c r="F51" s="12" t="n">
        <v>4</v>
      </c>
      <c r="G51" s="12" t="n">
        <v>2</v>
      </c>
      <c r="H51" s="12" t="n">
        <v>66.67</v>
      </c>
      <c r="I51" s="12" t="inlineStr">
        <is>
          <t>Eintracht Frankfurt_Haven</t>
        </is>
      </c>
    </row>
    <row r="52">
      <c r="A52" s="8" t="inlineStr">
        <is>
          <t>Eintracht Frankfurt</t>
        </is>
      </c>
      <c r="B52" s="8" t="inlineStr">
        <is>
          <t>Haven</t>
        </is>
      </c>
      <c r="C52" s="8" t="inlineStr">
        <is>
          <t>C</t>
        </is>
      </c>
      <c r="D52" s="8" t="inlineStr">
        <is>
          <t>def</t>
        </is>
      </c>
      <c r="E52" s="8" t="n">
        <v>14</v>
      </c>
      <c r="F52" s="8" t="n">
        <v>3</v>
      </c>
      <c r="G52" s="8" t="n">
        <v>11</v>
      </c>
      <c r="H52" s="8" t="n">
        <v>21.43</v>
      </c>
      <c r="I52" s="8" t="inlineStr">
        <is>
          <t>Eintracht Frankfurt_Haven</t>
        </is>
      </c>
    </row>
    <row r="53">
      <c r="A53" s="12" t="inlineStr">
        <is>
          <t>Eintracht Frankfurt</t>
        </is>
      </c>
      <c r="B53" s="12" t="inlineStr">
        <is>
          <t>Haven</t>
        </is>
      </c>
      <c r="C53" s="12" t="inlineStr">
        <is>
          <t>C</t>
        </is>
      </c>
      <c r="D53" s="12" t="inlineStr">
        <is>
          <t>atk</t>
        </is>
      </c>
      <c r="E53" s="12" t="n">
        <v>28</v>
      </c>
      <c r="F53" s="12" t="n">
        <v>17</v>
      </c>
      <c r="G53" s="12" t="n">
        <v>11</v>
      </c>
      <c r="H53" s="12" t="n">
        <v>60.71</v>
      </c>
      <c r="I53" s="12" t="inlineStr">
        <is>
          <t>Eintracht Frankfurt_Haven</t>
        </is>
      </c>
    </row>
    <row r="54">
      <c r="A54" s="8" t="inlineStr">
        <is>
          <t>Eintracht Frankfurt</t>
        </is>
      </c>
      <c r="B54" s="8" t="inlineStr">
        <is>
          <t>Pearl</t>
        </is>
      </c>
      <c r="C54" s="8" t="inlineStr">
        <is>
          <t>A</t>
        </is>
      </c>
      <c r="D54" s="8" t="inlineStr">
        <is>
          <t>atk</t>
        </is>
      </c>
      <c r="E54" s="8" t="n">
        <v>25</v>
      </c>
      <c r="F54" s="8" t="n">
        <v>15</v>
      </c>
      <c r="G54" s="8" t="n">
        <v>10</v>
      </c>
      <c r="H54" s="8" t="n">
        <v>60</v>
      </c>
      <c r="I54" s="8" t="inlineStr">
        <is>
          <t>Eintracht Frankfurt_Pearl</t>
        </is>
      </c>
    </row>
    <row r="55">
      <c r="A55" s="12" t="inlineStr">
        <is>
          <t>Eintracht Frankfurt</t>
        </is>
      </c>
      <c r="B55" s="12" t="inlineStr">
        <is>
          <t>Pearl</t>
        </is>
      </c>
      <c r="C55" s="12" t="inlineStr">
        <is>
          <t>A</t>
        </is>
      </c>
      <c r="D55" s="12" t="inlineStr">
        <is>
          <t>def</t>
        </is>
      </c>
      <c r="E55" s="12" t="n">
        <v>21</v>
      </c>
      <c r="F55" s="12" t="n">
        <v>7</v>
      </c>
      <c r="G55" s="12" t="n">
        <v>14</v>
      </c>
      <c r="H55" s="12" t="n">
        <v>33.33</v>
      </c>
      <c r="I55" s="12" t="inlineStr">
        <is>
          <t>Eintracht Frankfurt_Pearl</t>
        </is>
      </c>
    </row>
    <row r="56">
      <c r="A56" s="8" t="inlineStr">
        <is>
          <t>Eintracht Frankfurt</t>
        </is>
      </c>
      <c r="B56" s="8" t="inlineStr">
        <is>
          <t>Pearl</t>
        </is>
      </c>
      <c r="C56" s="8" t="inlineStr">
        <is>
          <t>B</t>
        </is>
      </c>
      <c r="D56" s="8" t="inlineStr">
        <is>
          <t>atk</t>
        </is>
      </c>
      <c r="E56" s="8" t="n">
        <v>21</v>
      </c>
      <c r="F56" s="8" t="n">
        <v>18</v>
      </c>
      <c r="G56" s="8" t="n">
        <v>3</v>
      </c>
      <c r="H56" s="8" t="n">
        <v>85.70999999999999</v>
      </c>
      <c r="I56" s="8" t="inlineStr">
        <is>
          <t>Eintracht Frankfurt_Pearl</t>
        </is>
      </c>
    </row>
    <row r="57">
      <c r="A57" s="12" t="inlineStr">
        <is>
          <t>Eintracht Frankfurt</t>
        </is>
      </c>
      <c r="B57" s="12" t="inlineStr">
        <is>
          <t>Pearl</t>
        </is>
      </c>
      <c r="C57" s="12" t="inlineStr">
        <is>
          <t>B</t>
        </is>
      </c>
      <c r="D57" s="12" t="inlineStr">
        <is>
          <t>def</t>
        </is>
      </c>
      <c r="E57" s="12" t="n">
        <v>18</v>
      </c>
      <c r="F57" s="12" t="n">
        <v>8</v>
      </c>
      <c r="G57" s="12" t="n">
        <v>10</v>
      </c>
      <c r="H57" s="12" t="n">
        <v>44.44</v>
      </c>
      <c r="I57" s="12" t="inlineStr">
        <is>
          <t>Eintracht Frankfurt_Pearl</t>
        </is>
      </c>
    </row>
    <row r="58">
      <c r="A58" s="8" t="inlineStr">
        <is>
          <t>Eintracht Frankfurt</t>
        </is>
      </c>
      <c r="B58" s="8" t="inlineStr">
        <is>
          <t>Split</t>
        </is>
      </c>
      <c r="C58" s="8" t="inlineStr">
        <is>
          <t>A</t>
        </is>
      </c>
      <c r="D58" s="8" t="inlineStr">
        <is>
          <t>def</t>
        </is>
      </c>
      <c r="E58" s="8" t="n">
        <v>22</v>
      </c>
      <c r="F58" s="8" t="n">
        <v>9</v>
      </c>
      <c r="G58" s="8" t="n">
        <v>13</v>
      </c>
      <c r="H58" s="8" t="n">
        <v>40.91</v>
      </c>
      <c r="I58" s="8" t="inlineStr">
        <is>
          <t>Eintracht Frankfurt_Split</t>
        </is>
      </c>
    </row>
    <row r="59">
      <c r="A59" s="12" t="inlineStr">
        <is>
          <t>Eintracht Frankfurt</t>
        </is>
      </c>
      <c r="B59" s="12" t="inlineStr">
        <is>
          <t>Split</t>
        </is>
      </c>
      <c r="C59" s="12" t="inlineStr">
        <is>
          <t>A</t>
        </is>
      </c>
      <c r="D59" s="12" t="inlineStr">
        <is>
          <t>atk</t>
        </is>
      </c>
      <c r="E59" s="12" t="n">
        <v>16</v>
      </c>
      <c r="F59" s="12" t="n">
        <v>12</v>
      </c>
      <c r="G59" s="12" t="n">
        <v>4</v>
      </c>
      <c r="H59" s="12" t="n">
        <v>75</v>
      </c>
      <c r="I59" s="12" t="inlineStr">
        <is>
          <t>Eintracht Frankfurt_Split</t>
        </is>
      </c>
    </row>
    <row r="60">
      <c r="A60" s="8" t="inlineStr">
        <is>
          <t>Eintracht Frankfurt</t>
        </is>
      </c>
      <c r="B60" s="8" t="inlineStr">
        <is>
          <t>Split</t>
        </is>
      </c>
      <c r="C60" s="8" t="inlineStr">
        <is>
          <t>B</t>
        </is>
      </c>
      <c r="D60" s="8" t="inlineStr">
        <is>
          <t>def</t>
        </is>
      </c>
      <c r="E60" s="8" t="n">
        <v>13</v>
      </c>
      <c r="F60" s="8" t="n">
        <v>5</v>
      </c>
      <c r="G60" s="8" t="n">
        <v>8</v>
      </c>
      <c r="H60" s="8" t="n">
        <v>38.46</v>
      </c>
      <c r="I60" s="8" t="inlineStr">
        <is>
          <t>Eintracht Frankfurt_Split</t>
        </is>
      </c>
    </row>
    <row r="61">
      <c r="A61" s="12" t="inlineStr">
        <is>
          <t>Eintracht Frankfurt</t>
        </is>
      </c>
      <c r="B61" s="12" t="inlineStr">
        <is>
          <t>Split</t>
        </is>
      </c>
      <c r="C61" s="12" t="inlineStr">
        <is>
          <t>B</t>
        </is>
      </c>
      <c r="D61" s="12" t="inlineStr">
        <is>
          <t>atk</t>
        </is>
      </c>
      <c r="E61" s="12" t="n">
        <v>22</v>
      </c>
      <c r="F61" s="12" t="n">
        <v>16</v>
      </c>
      <c r="G61" s="12" t="n">
        <v>6</v>
      </c>
      <c r="H61" s="12" t="n">
        <v>72.73</v>
      </c>
      <c r="I61" s="12" t="inlineStr">
        <is>
          <t>Eintracht Frankfurt_Split</t>
        </is>
      </c>
    </row>
    <row r="62">
      <c r="A62" s="8" t="inlineStr">
        <is>
          <t>Enterprise Esports</t>
        </is>
      </c>
      <c r="B62" s="8" t="inlineStr">
        <is>
          <t>Bind</t>
        </is>
      </c>
      <c r="C62" s="8" t="inlineStr">
        <is>
          <t>A</t>
        </is>
      </c>
      <c r="D62" s="8" t="inlineStr">
        <is>
          <t>atk</t>
        </is>
      </c>
      <c r="E62" s="8" t="n">
        <v>25</v>
      </c>
      <c r="F62" s="8" t="n">
        <v>20</v>
      </c>
      <c r="G62" s="8" t="n">
        <v>5</v>
      </c>
      <c r="H62" s="8" t="n">
        <v>80</v>
      </c>
      <c r="I62" s="8" t="inlineStr">
        <is>
          <t>Enterprise Esports_Bind</t>
        </is>
      </c>
    </row>
    <row r="63">
      <c r="A63" s="12" t="inlineStr">
        <is>
          <t>Enterprise Esports</t>
        </is>
      </c>
      <c r="B63" s="12" t="inlineStr">
        <is>
          <t>Bind</t>
        </is>
      </c>
      <c r="C63" s="12" t="inlineStr">
        <is>
          <t>A</t>
        </is>
      </c>
      <c r="D63" s="12" t="inlineStr">
        <is>
          <t>def</t>
        </is>
      </c>
      <c r="E63" s="12" t="n">
        <v>31</v>
      </c>
      <c r="F63" s="12" t="n">
        <v>10</v>
      </c>
      <c r="G63" s="12" t="n">
        <v>21</v>
      </c>
      <c r="H63" s="12" t="n">
        <v>32.26</v>
      </c>
      <c r="I63" s="12" t="inlineStr">
        <is>
          <t>Enterprise Esports_Bind</t>
        </is>
      </c>
    </row>
    <row r="64">
      <c r="A64" s="8" t="inlineStr">
        <is>
          <t>Enterprise Esports</t>
        </is>
      </c>
      <c r="B64" s="8" t="inlineStr">
        <is>
          <t>Bind</t>
        </is>
      </c>
      <c r="C64" s="8" t="inlineStr">
        <is>
          <t>B</t>
        </is>
      </c>
      <c r="D64" s="8" t="inlineStr">
        <is>
          <t>atk</t>
        </is>
      </c>
      <c r="E64" s="8" t="n">
        <v>24</v>
      </c>
      <c r="F64" s="8" t="n">
        <v>20</v>
      </c>
      <c r="G64" s="8" t="n">
        <v>4</v>
      </c>
      <c r="H64" s="8" t="n">
        <v>83.33</v>
      </c>
      <c r="I64" s="8" t="inlineStr">
        <is>
          <t>Enterprise Esports_Bind</t>
        </is>
      </c>
    </row>
    <row r="65">
      <c r="A65" s="12" t="inlineStr">
        <is>
          <t>Enterprise Esports</t>
        </is>
      </c>
      <c r="B65" s="12" t="inlineStr">
        <is>
          <t>Bind</t>
        </is>
      </c>
      <c r="C65" s="12" t="inlineStr">
        <is>
          <t>B</t>
        </is>
      </c>
      <c r="D65" s="12" t="inlineStr">
        <is>
          <t>def</t>
        </is>
      </c>
      <c r="E65" s="12" t="n">
        <v>26</v>
      </c>
      <c r="F65" s="12" t="n">
        <v>5</v>
      </c>
      <c r="G65" s="12" t="n">
        <v>21</v>
      </c>
      <c r="H65" s="12" t="n">
        <v>19.23</v>
      </c>
      <c r="I65" s="12" t="inlineStr">
        <is>
          <t>Enterprise Esports_Bind</t>
        </is>
      </c>
    </row>
    <row r="66">
      <c r="A66" s="8" t="inlineStr">
        <is>
          <t>Enterprise Esports</t>
        </is>
      </c>
      <c r="B66" s="8" t="inlineStr">
        <is>
          <t>Corrode</t>
        </is>
      </c>
      <c r="C66" s="8" t="inlineStr">
        <is>
          <t>A</t>
        </is>
      </c>
      <c r="D66" s="8" t="inlineStr">
        <is>
          <t>def</t>
        </is>
      </c>
      <c r="E66" s="8" t="n">
        <v>20</v>
      </c>
      <c r="F66" s="8" t="n">
        <v>4</v>
      </c>
      <c r="G66" s="8" t="n">
        <v>16</v>
      </c>
      <c r="H66" s="8" t="n">
        <v>20</v>
      </c>
      <c r="I66" s="8" t="inlineStr">
        <is>
          <t>Enterprise Esports_Corrode</t>
        </is>
      </c>
    </row>
    <row r="67">
      <c r="A67" s="12" t="inlineStr">
        <is>
          <t>Enterprise Esports</t>
        </is>
      </c>
      <c r="B67" s="12" t="inlineStr">
        <is>
          <t>Corrode</t>
        </is>
      </c>
      <c r="C67" s="12" t="inlineStr">
        <is>
          <t>A</t>
        </is>
      </c>
      <c r="D67" s="12" t="inlineStr">
        <is>
          <t>atk</t>
        </is>
      </c>
      <c r="E67" s="12" t="n">
        <v>19</v>
      </c>
      <c r="F67" s="12" t="n">
        <v>16</v>
      </c>
      <c r="G67" s="12" t="n">
        <v>3</v>
      </c>
      <c r="H67" s="12" t="n">
        <v>84.20999999999999</v>
      </c>
      <c r="I67" s="12" t="inlineStr">
        <is>
          <t>Enterprise Esports_Corrode</t>
        </is>
      </c>
    </row>
    <row r="68">
      <c r="A68" s="8" t="inlineStr">
        <is>
          <t>Enterprise Esports</t>
        </is>
      </c>
      <c r="B68" s="8" t="inlineStr">
        <is>
          <t>Corrode</t>
        </is>
      </c>
      <c r="C68" s="8" t="inlineStr">
        <is>
          <t>B</t>
        </is>
      </c>
      <c r="D68" s="8" t="inlineStr">
        <is>
          <t>def</t>
        </is>
      </c>
      <c r="E68" s="8" t="n">
        <v>12</v>
      </c>
      <c r="F68" s="8" t="n">
        <v>2</v>
      </c>
      <c r="G68" s="8" t="n">
        <v>10</v>
      </c>
      <c r="H68" s="8" t="n">
        <v>16.67</v>
      </c>
      <c r="I68" s="8" t="inlineStr">
        <is>
          <t>Enterprise Esports_Corrode</t>
        </is>
      </c>
    </row>
    <row r="69">
      <c r="A69" s="12" t="inlineStr">
        <is>
          <t>Enterprise Esports</t>
        </is>
      </c>
      <c r="B69" s="12" t="inlineStr">
        <is>
          <t>Corrode</t>
        </is>
      </c>
      <c r="C69" s="12" t="inlineStr">
        <is>
          <t>B</t>
        </is>
      </c>
      <c r="D69" s="12" t="inlineStr">
        <is>
          <t>atk</t>
        </is>
      </c>
      <c r="E69" s="12" t="n">
        <v>20</v>
      </c>
      <c r="F69" s="12" t="n">
        <v>15</v>
      </c>
      <c r="G69" s="12" t="n">
        <v>5</v>
      </c>
      <c r="H69" s="12" t="n">
        <v>75</v>
      </c>
      <c r="I69" s="12" t="inlineStr">
        <is>
          <t>Enterprise Esports_Corrode</t>
        </is>
      </c>
    </row>
    <row r="70">
      <c r="A70" s="8" t="inlineStr">
        <is>
          <t>Enterprise Esports</t>
        </is>
      </c>
      <c r="B70" s="8" t="inlineStr">
        <is>
          <t>Haven</t>
        </is>
      </c>
      <c r="C70" s="8" t="inlineStr">
        <is>
          <t>A</t>
        </is>
      </c>
      <c r="D70" s="8" t="inlineStr">
        <is>
          <t>atk</t>
        </is>
      </c>
      <c r="E70" s="8" t="n">
        <v>8</v>
      </c>
      <c r="F70" s="8" t="n">
        <v>7</v>
      </c>
      <c r="G70" s="8" t="n">
        <v>1</v>
      </c>
      <c r="H70" s="8" t="n">
        <v>87.5</v>
      </c>
      <c r="I70" s="8" t="inlineStr">
        <is>
          <t>Enterprise Esports_Haven</t>
        </is>
      </c>
    </row>
    <row r="71">
      <c r="A71" s="12" t="inlineStr">
        <is>
          <t>Enterprise Esports</t>
        </is>
      </c>
      <c r="B71" s="12" t="inlineStr">
        <is>
          <t>Haven</t>
        </is>
      </c>
      <c r="C71" s="12" t="inlineStr">
        <is>
          <t>A</t>
        </is>
      </c>
      <c r="D71" s="12" t="inlineStr">
        <is>
          <t>def</t>
        </is>
      </c>
      <c r="E71" s="12" t="n">
        <v>9</v>
      </c>
      <c r="F71" s="12" t="n">
        <v>2</v>
      </c>
      <c r="G71" s="12" t="n">
        <v>7</v>
      </c>
      <c r="H71" s="12" t="n">
        <v>22.22</v>
      </c>
      <c r="I71" s="12" t="inlineStr">
        <is>
          <t>Enterprise Esports_Haven</t>
        </is>
      </c>
    </row>
    <row r="72">
      <c r="A72" s="8" t="inlineStr">
        <is>
          <t>Enterprise Esports</t>
        </is>
      </c>
      <c r="B72" s="8" t="inlineStr">
        <is>
          <t>Haven</t>
        </is>
      </c>
      <c r="C72" s="8" t="inlineStr">
        <is>
          <t>B</t>
        </is>
      </c>
      <c r="D72" s="8" t="inlineStr">
        <is>
          <t>atk</t>
        </is>
      </c>
      <c r="E72" s="8" t="n">
        <v>7</v>
      </c>
      <c r="F72" s="8" t="n">
        <v>6</v>
      </c>
      <c r="G72" s="8" t="n">
        <v>1</v>
      </c>
      <c r="H72" s="8" t="n">
        <v>85.70999999999999</v>
      </c>
      <c r="I72" s="8" t="inlineStr">
        <is>
          <t>Enterprise Esports_Haven</t>
        </is>
      </c>
    </row>
    <row r="73">
      <c r="A73" s="12" t="inlineStr">
        <is>
          <t>Enterprise Esports</t>
        </is>
      </c>
      <c r="B73" s="12" t="inlineStr">
        <is>
          <t>Haven</t>
        </is>
      </c>
      <c r="C73" s="12" t="inlineStr">
        <is>
          <t>B</t>
        </is>
      </c>
      <c r="D73" s="12" t="inlineStr">
        <is>
          <t>def</t>
        </is>
      </c>
      <c r="E73" s="12" t="n">
        <v>5</v>
      </c>
      <c r="F73" s="12" t="n">
        <v>3</v>
      </c>
      <c r="G73" s="12" t="n">
        <v>2</v>
      </c>
      <c r="H73" s="12" t="n">
        <v>60</v>
      </c>
      <c r="I73" s="12" t="inlineStr">
        <is>
          <t>Enterprise Esports_Haven</t>
        </is>
      </c>
    </row>
    <row r="74">
      <c r="A74" s="8" t="inlineStr">
        <is>
          <t>Enterprise Esports</t>
        </is>
      </c>
      <c r="B74" s="8" t="inlineStr">
        <is>
          <t>Haven</t>
        </is>
      </c>
      <c r="C74" s="8" t="inlineStr">
        <is>
          <t>C</t>
        </is>
      </c>
      <c r="D74" s="8" t="inlineStr">
        <is>
          <t>atk</t>
        </is>
      </c>
      <c r="E74" s="8" t="n">
        <v>12</v>
      </c>
      <c r="F74" s="8" t="n">
        <v>10</v>
      </c>
      <c r="G74" s="8" t="n">
        <v>2</v>
      </c>
      <c r="H74" s="8" t="n">
        <v>83.33</v>
      </c>
      <c r="I74" s="8" t="inlineStr">
        <is>
          <t>Enterprise Esports_Haven</t>
        </is>
      </c>
    </row>
    <row r="75">
      <c r="A75" s="12" t="inlineStr">
        <is>
          <t>Enterprise Esports</t>
        </is>
      </c>
      <c r="B75" s="12" t="inlineStr">
        <is>
          <t>Haven</t>
        </is>
      </c>
      <c r="C75" s="12" t="inlineStr">
        <is>
          <t>C</t>
        </is>
      </c>
      <c r="D75" s="12" t="inlineStr">
        <is>
          <t>def</t>
        </is>
      </c>
      <c r="E75" s="12" t="n">
        <v>9</v>
      </c>
      <c r="F75" s="12" t="n">
        <v>2</v>
      </c>
      <c r="G75" s="12" t="n">
        <v>7</v>
      </c>
      <c r="H75" s="12" t="n">
        <v>22.22</v>
      </c>
      <c r="I75" s="12" t="inlineStr">
        <is>
          <t>Enterprise Esports_Haven</t>
        </is>
      </c>
    </row>
    <row r="76">
      <c r="A76" s="8" t="inlineStr">
        <is>
          <t>Enterprise Esports</t>
        </is>
      </c>
      <c r="B76" s="8" t="inlineStr">
        <is>
          <t>Pearl</t>
        </is>
      </c>
      <c r="C76" s="8" t="inlineStr">
        <is>
          <t>A</t>
        </is>
      </c>
      <c r="D76" s="8" t="inlineStr">
        <is>
          <t>atk</t>
        </is>
      </c>
      <c r="E76" s="8" t="n">
        <v>23</v>
      </c>
      <c r="F76" s="8" t="n">
        <v>19</v>
      </c>
      <c r="G76" s="8" t="n">
        <v>4</v>
      </c>
      <c r="H76" s="8" t="n">
        <v>82.61</v>
      </c>
      <c r="I76" s="8" t="inlineStr">
        <is>
          <t>Enterprise Esports_Pearl</t>
        </is>
      </c>
    </row>
    <row r="77">
      <c r="A77" s="12" t="inlineStr">
        <is>
          <t>Enterprise Esports</t>
        </is>
      </c>
      <c r="B77" s="12" t="inlineStr">
        <is>
          <t>Pearl</t>
        </is>
      </c>
      <c r="C77" s="12" t="inlineStr">
        <is>
          <t>A</t>
        </is>
      </c>
      <c r="D77" s="12" t="inlineStr">
        <is>
          <t>def</t>
        </is>
      </c>
      <c r="E77" s="12" t="n">
        <v>16</v>
      </c>
      <c r="F77" s="12" t="n">
        <v>8</v>
      </c>
      <c r="G77" s="12" t="n">
        <v>8</v>
      </c>
      <c r="H77" s="12" t="n">
        <v>50</v>
      </c>
      <c r="I77" s="12" t="inlineStr">
        <is>
          <t>Enterprise Esports_Pearl</t>
        </is>
      </c>
    </row>
    <row r="78">
      <c r="A78" s="8" t="inlineStr">
        <is>
          <t>Enterprise Esports</t>
        </is>
      </c>
      <c r="B78" s="8" t="inlineStr">
        <is>
          <t>Pearl</t>
        </is>
      </c>
      <c r="C78" s="8" t="inlineStr">
        <is>
          <t>B</t>
        </is>
      </c>
      <c r="D78" s="8" t="inlineStr">
        <is>
          <t>atk</t>
        </is>
      </c>
      <c r="E78" s="8" t="n">
        <v>19</v>
      </c>
      <c r="F78" s="8" t="n">
        <v>17</v>
      </c>
      <c r="G78" s="8" t="n">
        <v>2</v>
      </c>
      <c r="H78" s="8" t="n">
        <v>89.47</v>
      </c>
      <c r="I78" s="8" t="inlineStr">
        <is>
          <t>Enterprise Esports_Pearl</t>
        </is>
      </c>
    </row>
    <row r="79">
      <c r="A79" s="12" t="inlineStr">
        <is>
          <t>Enterprise Esports</t>
        </is>
      </c>
      <c r="B79" s="12" t="inlineStr">
        <is>
          <t>Pearl</t>
        </is>
      </c>
      <c r="C79" s="12" t="inlineStr">
        <is>
          <t>B</t>
        </is>
      </c>
      <c r="D79" s="12" t="inlineStr">
        <is>
          <t>def</t>
        </is>
      </c>
      <c r="E79" s="12" t="n">
        <v>7</v>
      </c>
      <c r="F79" s="12" t="n">
        <v>3</v>
      </c>
      <c r="G79" s="12" t="n">
        <v>4</v>
      </c>
      <c r="H79" s="12" t="n">
        <v>42.86</v>
      </c>
      <c r="I79" s="12" t="inlineStr">
        <is>
          <t>Enterprise Esports_Pearl</t>
        </is>
      </c>
    </row>
    <row r="80">
      <c r="A80" s="8" t="inlineStr">
        <is>
          <t>Enterprise Esports</t>
        </is>
      </c>
      <c r="B80" s="8" t="inlineStr">
        <is>
          <t>Split</t>
        </is>
      </c>
      <c r="C80" s="8" t="inlineStr">
        <is>
          <t>A</t>
        </is>
      </c>
      <c r="D80" s="8" t="inlineStr">
        <is>
          <t>def</t>
        </is>
      </c>
      <c r="E80" s="8" t="n">
        <v>13</v>
      </c>
      <c r="F80" s="8" t="n">
        <v>6</v>
      </c>
      <c r="G80" s="8" t="n">
        <v>7</v>
      </c>
      <c r="H80" s="8" t="n">
        <v>46.15</v>
      </c>
      <c r="I80" s="8" t="inlineStr">
        <is>
          <t>Enterprise Esports_Split</t>
        </is>
      </c>
    </row>
    <row r="81">
      <c r="A81" s="12" t="inlineStr">
        <is>
          <t>Enterprise Esports</t>
        </is>
      </c>
      <c r="B81" s="12" t="inlineStr">
        <is>
          <t>Split</t>
        </is>
      </c>
      <c r="C81" s="12" t="inlineStr">
        <is>
          <t>A</t>
        </is>
      </c>
      <c r="D81" s="12" t="inlineStr">
        <is>
          <t>atk</t>
        </is>
      </c>
      <c r="E81" s="12" t="n">
        <v>12</v>
      </c>
      <c r="F81" s="12" t="n">
        <v>9</v>
      </c>
      <c r="G81" s="12" t="n">
        <v>3</v>
      </c>
      <c r="H81" s="12" t="n">
        <v>75</v>
      </c>
      <c r="I81" s="12" t="inlineStr">
        <is>
          <t>Enterprise Esports_Split</t>
        </is>
      </c>
    </row>
    <row r="82">
      <c r="A82" s="8" t="inlineStr">
        <is>
          <t>Enterprise Esports</t>
        </is>
      </c>
      <c r="B82" s="8" t="inlineStr">
        <is>
          <t>Split</t>
        </is>
      </c>
      <c r="C82" s="8" t="inlineStr">
        <is>
          <t>B</t>
        </is>
      </c>
      <c r="D82" s="8" t="inlineStr">
        <is>
          <t>def</t>
        </is>
      </c>
      <c r="E82" s="8" t="n">
        <v>13</v>
      </c>
      <c r="F82" s="8" t="n">
        <v>5</v>
      </c>
      <c r="G82" s="8" t="n">
        <v>8</v>
      </c>
      <c r="H82" s="8" t="n">
        <v>38.46</v>
      </c>
      <c r="I82" s="8" t="inlineStr">
        <is>
          <t>Enterprise Esports_Split</t>
        </is>
      </c>
    </row>
    <row r="83">
      <c r="A83" s="12" t="inlineStr">
        <is>
          <t>Enterprise Esports</t>
        </is>
      </c>
      <c r="B83" s="12" t="inlineStr">
        <is>
          <t>Split</t>
        </is>
      </c>
      <c r="C83" s="12" t="inlineStr">
        <is>
          <t>B</t>
        </is>
      </c>
      <c r="D83" s="12" t="inlineStr">
        <is>
          <t>atk</t>
        </is>
      </c>
      <c r="E83" s="12" t="n">
        <v>15</v>
      </c>
      <c r="F83" s="12" t="n">
        <v>15</v>
      </c>
      <c r="G83" s="12" t="n">
        <v>0</v>
      </c>
      <c r="H83" s="12" t="n">
        <v>100</v>
      </c>
      <c r="I83" s="12" t="inlineStr">
        <is>
          <t>Enterprise Esports_Split</t>
        </is>
      </c>
    </row>
    <row r="84">
      <c r="A84" s="8" t="inlineStr">
        <is>
          <t>FOKUS</t>
        </is>
      </c>
      <c r="B84" s="8" t="inlineStr">
        <is>
          <t>Abyss</t>
        </is>
      </c>
      <c r="C84" s="8" t="inlineStr">
        <is>
          <t>A</t>
        </is>
      </c>
      <c r="D84" s="8" t="inlineStr">
        <is>
          <t>def</t>
        </is>
      </c>
      <c r="E84" s="8" t="n">
        <v>27</v>
      </c>
      <c r="F84" s="8" t="n">
        <v>9</v>
      </c>
      <c r="G84" s="8" t="n">
        <v>18</v>
      </c>
      <c r="H84" s="8" t="n">
        <v>33.33</v>
      </c>
      <c r="I84" s="8" t="inlineStr">
        <is>
          <t>FOKUS_Abyss</t>
        </is>
      </c>
    </row>
    <row r="85">
      <c r="A85" s="12" t="inlineStr">
        <is>
          <t>FOKUS</t>
        </is>
      </c>
      <c r="B85" s="12" t="inlineStr">
        <is>
          <t>Abyss</t>
        </is>
      </c>
      <c r="C85" s="12" t="inlineStr">
        <is>
          <t>A</t>
        </is>
      </c>
      <c r="D85" s="12" t="inlineStr">
        <is>
          <t>atk</t>
        </is>
      </c>
      <c r="E85" s="12" t="n">
        <v>41</v>
      </c>
      <c r="F85" s="12" t="n">
        <v>30</v>
      </c>
      <c r="G85" s="12" t="n">
        <v>11</v>
      </c>
      <c r="H85" s="12" t="n">
        <v>73.17</v>
      </c>
      <c r="I85" s="12" t="inlineStr">
        <is>
          <t>FOKUS_Abyss</t>
        </is>
      </c>
    </row>
    <row r="86">
      <c r="A86" s="8" t="inlineStr">
        <is>
          <t>FOKUS</t>
        </is>
      </c>
      <c r="B86" s="8" t="inlineStr">
        <is>
          <t>Abyss</t>
        </is>
      </c>
      <c r="C86" s="8" t="inlineStr">
        <is>
          <t>B</t>
        </is>
      </c>
      <c r="D86" s="8" t="inlineStr">
        <is>
          <t>def</t>
        </is>
      </c>
      <c r="E86" s="8" t="n">
        <v>40</v>
      </c>
      <c r="F86" s="8" t="n">
        <v>17</v>
      </c>
      <c r="G86" s="8" t="n">
        <v>23</v>
      </c>
      <c r="H86" s="8" t="n">
        <v>42.5</v>
      </c>
      <c r="I86" s="8" t="inlineStr">
        <is>
          <t>FOKUS_Abyss</t>
        </is>
      </c>
    </row>
    <row r="87">
      <c r="A87" s="12" t="inlineStr">
        <is>
          <t>FOKUS</t>
        </is>
      </c>
      <c r="B87" s="12" t="inlineStr">
        <is>
          <t>Abyss</t>
        </is>
      </c>
      <c r="C87" s="12" t="inlineStr">
        <is>
          <t>B</t>
        </is>
      </c>
      <c r="D87" s="12" t="inlineStr">
        <is>
          <t>atk</t>
        </is>
      </c>
      <c r="E87" s="12" t="n">
        <v>52</v>
      </c>
      <c r="F87" s="12" t="n">
        <v>38</v>
      </c>
      <c r="G87" s="12" t="n">
        <v>14</v>
      </c>
      <c r="H87" s="12" t="n">
        <v>73.08</v>
      </c>
      <c r="I87" s="12" t="inlineStr">
        <is>
          <t>FOKUS_Abyss</t>
        </is>
      </c>
    </row>
    <row r="88">
      <c r="A88" s="8" t="inlineStr">
        <is>
          <t>FOKUS</t>
        </is>
      </c>
      <c r="B88" s="8" t="inlineStr">
        <is>
          <t>Bind</t>
        </is>
      </c>
      <c r="C88" s="8" t="inlineStr">
        <is>
          <t>A</t>
        </is>
      </c>
      <c r="D88" s="8" t="inlineStr">
        <is>
          <t>def</t>
        </is>
      </c>
      <c r="E88" s="8" t="n">
        <v>26</v>
      </c>
      <c r="F88" s="8" t="n">
        <v>14</v>
      </c>
      <c r="G88" s="8" t="n">
        <v>12</v>
      </c>
      <c r="H88" s="8" t="n">
        <v>53.85</v>
      </c>
      <c r="I88" s="8" t="inlineStr">
        <is>
          <t>FOKUS_Bind</t>
        </is>
      </c>
    </row>
    <row r="89">
      <c r="A89" s="12" t="inlineStr">
        <is>
          <t>FOKUS</t>
        </is>
      </c>
      <c r="B89" s="12" t="inlineStr">
        <is>
          <t>Bind</t>
        </is>
      </c>
      <c r="C89" s="12" t="inlineStr">
        <is>
          <t>A</t>
        </is>
      </c>
      <c r="D89" s="12" t="inlineStr">
        <is>
          <t>atk</t>
        </is>
      </c>
      <c r="E89" s="12" t="n">
        <v>49</v>
      </c>
      <c r="F89" s="12" t="n">
        <v>37</v>
      </c>
      <c r="G89" s="12" t="n">
        <v>12</v>
      </c>
      <c r="H89" s="12" t="n">
        <v>75.51000000000001</v>
      </c>
      <c r="I89" s="12" t="inlineStr">
        <is>
          <t>FOKUS_Bind</t>
        </is>
      </c>
    </row>
    <row r="90">
      <c r="A90" s="8" t="inlineStr">
        <is>
          <t>FOKUS</t>
        </is>
      </c>
      <c r="B90" s="8" t="inlineStr">
        <is>
          <t>Bind</t>
        </is>
      </c>
      <c r="C90" s="8" t="inlineStr">
        <is>
          <t>B</t>
        </is>
      </c>
      <c r="D90" s="8" t="inlineStr">
        <is>
          <t>def</t>
        </is>
      </c>
      <c r="E90" s="8" t="n">
        <v>21</v>
      </c>
      <c r="F90" s="8" t="n">
        <v>15</v>
      </c>
      <c r="G90" s="8" t="n">
        <v>6</v>
      </c>
      <c r="H90" s="8" t="n">
        <v>71.43000000000001</v>
      </c>
      <c r="I90" s="8" t="inlineStr">
        <is>
          <t>FOKUS_Bind</t>
        </is>
      </c>
    </row>
    <row r="91">
      <c r="A91" s="12" t="inlineStr">
        <is>
          <t>FOKUS</t>
        </is>
      </c>
      <c r="B91" s="12" t="inlineStr">
        <is>
          <t>Bind</t>
        </is>
      </c>
      <c r="C91" s="12" t="inlineStr">
        <is>
          <t>B</t>
        </is>
      </c>
      <c r="D91" s="12" t="inlineStr">
        <is>
          <t>atk</t>
        </is>
      </c>
      <c r="E91" s="12" t="n">
        <v>20</v>
      </c>
      <c r="F91" s="12" t="n">
        <v>14</v>
      </c>
      <c r="G91" s="12" t="n">
        <v>6</v>
      </c>
      <c r="H91" s="12" t="n">
        <v>70</v>
      </c>
      <c r="I91" s="12" t="inlineStr">
        <is>
          <t>FOKUS_Bind</t>
        </is>
      </c>
    </row>
    <row r="92">
      <c r="A92" s="8" t="inlineStr">
        <is>
          <t>FOKUS</t>
        </is>
      </c>
      <c r="B92" s="8" t="inlineStr">
        <is>
          <t>Breeze</t>
        </is>
      </c>
      <c r="C92" s="8" t="inlineStr">
        <is>
          <t>A</t>
        </is>
      </c>
      <c r="D92" s="8" t="inlineStr">
        <is>
          <t>atk</t>
        </is>
      </c>
      <c r="E92" s="8" t="n">
        <v>40</v>
      </c>
      <c r="F92" s="8" t="n">
        <v>27</v>
      </c>
      <c r="G92" s="8" t="n">
        <v>13</v>
      </c>
      <c r="H92" s="8" t="n">
        <v>67.5</v>
      </c>
      <c r="I92" s="8" t="inlineStr">
        <is>
          <t>FOKUS_Breeze</t>
        </is>
      </c>
    </row>
    <row r="93">
      <c r="A93" s="12" t="inlineStr">
        <is>
          <t>FOKUS</t>
        </is>
      </c>
      <c r="B93" s="12" t="inlineStr">
        <is>
          <t>Breeze</t>
        </is>
      </c>
      <c r="C93" s="12" t="inlineStr">
        <is>
          <t>A</t>
        </is>
      </c>
      <c r="D93" s="12" t="inlineStr">
        <is>
          <t>def</t>
        </is>
      </c>
      <c r="E93" s="12" t="n">
        <v>28</v>
      </c>
      <c r="F93" s="12" t="n">
        <v>11</v>
      </c>
      <c r="G93" s="12" t="n">
        <v>17</v>
      </c>
      <c r="H93" s="12" t="n">
        <v>39.29</v>
      </c>
      <c r="I93" s="12" t="inlineStr">
        <is>
          <t>FOKUS_Breeze</t>
        </is>
      </c>
    </row>
    <row r="94">
      <c r="A94" s="8" t="inlineStr">
        <is>
          <t>FOKUS</t>
        </is>
      </c>
      <c r="B94" s="8" t="inlineStr">
        <is>
          <t>Breeze</t>
        </is>
      </c>
      <c r="C94" s="8" t="inlineStr">
        <is>
          <t>B</t>
        </is>
      </c>
      <c r="D94" s="8" t="inlineStr">
        <is>
          <t>atk</t>
        </is>
      </c>
      <c r="E94" s="8" t="n">
        <v>30</v>
      </c>
      <c r="F94" s="8" t="n">
        <v>23</v>
      </c>
      <c r="G94" s="8" t="n">
        <v>7</v>
      </c>
      <c r="H94" s="8" t="n">
        <v>76.67</v>
      </c>
      <c r="I94" s="8" t="inlineStr">
        <is>
          <t>FOKUS_Breeze</t>
        </is>
      </c>
    </row>
    <row r="95">
      <c r="A95" s="12" t="inlineStr">
        <is>
          <t>FOKUS</t>
        </is>
      </c>
      <c r="B95" s="12" t="inlineStr">
        <is>
          <t>Breeze</t>
        </is>
      </c>
      <c r="C95" s="12" t="inlineStr">
        <is>
          <t>B</t>
        </is>
      </c>
      <c r="D95" s="12" t="inlineStr">
        <is>
          <t>def</t>
        </is>
      </c>
      <c r="E95" s="12" t="n">
        <v>26</v>
      </c>
      <c r="F95" s="12" t="n">
        <v>4</v>
      </c>
      <c r="G95" s="12" t="n">
        <v>22</v>
      </c>
      <c r="H95" s="12" t="n">
        <v>15.38</v>
      </c>
      <c r="I95" s="12" t="inlineStr">
        <is>
          <t>FOKUS_Breeze</t>
        </is>
      </c>
    </row>
    <row r="96">
      <c r="A96" s="8" t="inlineStr">
        <is>
          <t>FOKUS</t>
        </is>
      </c>
      <c r="B96" s="8" t="inlineStr">
        <is>
          <t>Corrode</t>
        </is>
      </c>
      <c r="C96" s="8" t="inlineStr">
        <is>
          <t>A</t>
        </is>
      </c>
      <c r="D96" s="8" t="inlineStr">
        <is>
          <t>def</t>
        </is>
      </c>
      <c r="E96" s="8" t="n">
        <v>18</v>
      </c>
      <c r="F96" s="8" t="n">
        <v>3</v>
      </c>
      <c r="G96" s="8" t="n">
        <v>15</v>
      </c>
      <c r="H96" s="8" t="n">
        <v>16.67</v>
      </c>
      <c r="I96" s="8" t="inlineStr">
        <is>
          <t>FOKUS_Corrode</t>
        </is>
      </c>
    </row>
    <row r="97">
      <c r="A97" s="12" t="inlineStr">
        <is>
          <t>FOKUS</t>
        </is>
      </c>
      <c r="B97" s="12" t="inlineStr">
        <is>
          <t>Corrode</t>
        </is>
      </c>
      <c r="C97" s="12" t="inlineStr">
        <is>
          <t>A</t>
        </is>
      </c>
      <c r="D97" s="12" t="inlineStr">
        <is>
          <t>atk</t>
        </is>
      </c>
      <c r="E97" s="12" t="n">
        <v>30</v>
      </c>
      <c r="F97" s="12" t="n">
        <v>22</v>
      </c>
      <c r="G97" s="12" t="n">
        <v>8</v>
      </c>
      <c r="H97" s="12" t="n">
        <v>73.33</v>
      </c>
      <c r="I97" s="12" t="inlineStr">
        <is>
          <t>FOKUS_Corrode</t>
        </is>
      </c>
    </row>
    <row r="98">
      <c r="A98" s="8" t="inlineStr">
        <is>
          <t>FOKUS</t>
        </is>
      </c>
      <c r="B98" s="8" t="inlineStr">
        <is>
          <t>Corrode</t>
        </is>
      </c>
      <c r="C98" s="8" t="inlineStr">
        <is>
          <t>B</t>
        </is>
      </c>
      <c r="D98" s="8" t="inlineStr">
        <is>
          <t>def</t>
        </is>
      </c>
      <c r="E98" s="8" t="n">
        <v>14</v>
      </c>
      <c r="F98" s="8" t="n">
        <v>5</v>
      </c>
      <c r="G98" s="8" t="n">
        <v>9</v>
      </c>
      <c r="H98" s="8" t="n">
        <v>35.71</v>
      </c>
      <c r="I98" s="8" t="inlineStr">
        <is>
          <t>FOKUS_Corrode</t>
        </is>
      </c>
    </row>
    <row r="99">
      <c r="A99" s="12" t="inlineStr">
        <is>
          <t>FOKUS</t>
        </is>
      </c>
      <c r="B99" s="12" t="inlineStr">
        <is>
          <t>Corrode</t>
        </is>
      </c>
      <c r="C99" s="12" t="inlineStr">
        <is>
          <t>B</t>
        </is>
      </c>
      <c r="D99" s="12" t="inlineStr">
        <is>
          <t>atk</t>
        </is>
      </c>
      <c r="E99" s="12" t="n">
        <v>19</v>
      </c>
      <c r="F99" s="12" t="n">
        <v>16</v>
      </c>
      <c r="G99" s="12" t="n">
        <v>3</v>
      </c>
      <c r="H99" s="12" t="n">
        <v>84.20999999999999</v>
      </c>
      <c r="I99" s="12" t="inlineStr">
        <is>
          <t>FOKUS_Corrode</t>
        </is>
      </c>
    </row>
    <row r="100">
      <c r="A100" s="8" t="inlineStr">
        <is>
          <t>FOKUS</t>
        </is>
      </c>
      <c r="B100" s="8" t="inlineStr">
        <is>
          <t>Haven</t>
        </is>
      </c>
      <c r="C100" s="8" t="inlineStr">
        <is>
          <t>A</t>
        </is>
      </c>
      <c r="D100" s="8" t="inlineStr">
        <is>
          <t>atk</t>
        </is>
      </c>
      <c r="E100" s="8" t="n">
        <v>16</v>
      </c>
      <c r="F100" s="8" t="n">
        <v>11</v>
      </c>
      <c r="G100" s="8" t="n">
        <v>5</v>
      </c>
      <c r="H100" s="8" t="n">
        <v>68.75</v>
      </c>
      <c r="I100" s="8" t="inlineStr">
        <is>
          <t>FOKUS_Haven</t>
        </is>
      </c>
    </row>
    <row r="101">
      <c r="A101" s="12" t="inlineStr">
        <is>
          <t>FOKUS</t>
        </is>
      </c>
      <c r="B101" s="12" t="inlineStr">
        <is>
          <t>Haven</t>
        </is>
      </c>
      <c r="C101" s="12" t="inlineStr">
        <is>
          <t>A</t>
        </is>
      </c>
      <c r="D101" s="12" t="inlineStr">
        <is>
          <t>def</t>
        </is>
      </c>
      <c r="E101" s="12" t="n">
        <v>21</v>
      </c>
      <c r="F101" s="12" t="n">
        <v>5</v>
      </c>
      <c r="G101" s="12" t="n">
        <v>16</v>
      </c>
      <c r="H101" s="12" t="n">
        <v>23.81</v>
      </c>
      <c r="I101" s="12" t="inlineStr">
        <is>
          <t>FOKUS_Haven</t>
        </is>
      </c>
    </row>
    <row r="102">
      <c r="A102" s="8" t="inlineStr">
        <is>
          <t>FOKUS</t>
        </is>
      </c>
      <c r="B102" s="8" t="inlineStr">
        <is>
          <t>Haven</t>
        </is>
      </c>
      <c r="C102" s="8" t="inlineStr">
        <is>
          <t>B</t>
        </is>
      </c>
      <c r="D102" s="8" t="inlineStr">
        <is>
          <t>atk</t>
        </is>
      </c>
      <c r="E102" s="8" t="n">
        <v>10</v>
      </c>
      <c r="F102" s="8" t="n">
        <v>6</v>
      </c>
      <c r="G102" s="8" t="n">
        <v>4</v>
      </c>
      <c r="H102" s="8" t="n">
        <v>60</v>
      </c>
      <c r="I102" s="8" t="inlineStr">
        <is>
          <t>FOKUS_Haven</t>
        </is>
      </c>
    </row>
    <row r="103">
      <c r="A103" s="12" t="inlineStr">
        <is>
          <t>FOKUS</t>
        </is>
      </c>
      <c r="B103" s="12" t="inlineStr">
        <is>
          <t>Haven</t>
        </is>
      </c>
      <c r="C103" s="12" t="inlineStr">
        <is>
          <t>B</t>
        </is>
      </c>
      <c r="D103" s="12" t="inlineStr">
        <is>
          <t>def</t>
        </is>
      </c>
      <c r="E103" s="12" t="n">
        <v>9</v>
      </c>
      <c r="F103" s="12" t="n">
        <v>5</v>
      </c>
      <c r="G103" s="12" t="n">
        <v>4</v>
      </c>
      <c r="H103" s="12" t="n">
        <v>55.56</v>
      </c>
      <c r="I103" s="12" t="inlineStr">
        <is>
          <t>FOKUS_Haven</t>
        </is>
      </c>
    </row>
    <row r="104">
      <c r="A104" s="8" t="inlineStr">
        <is>
          <t>FOKUS</t>
        </is>
      </c>
      <c r="B104" s="8" t="inlineStr">
        <is>
          <t>Haven</t>
        </is>
      </c>
      <c r="C104" s="8" t="inlineStr">
        <is>
          <t>C</t>
        </is>
      </c>
      <c r="D104" s="8" t="inlineStr">
        <is>
          <t>atk</t>
        </is>
      </c>
      <c r="E104" s="8" t="n">
        <v>19</v>
      </c>
      <c r="F104" s="8" t="n">
        <v>17</v>
      </c>
      <c r="G104" s="8" t="n">
        <v>2</v>
      </c>
      <c r="H104" s="8" t="n">
        <v>89.47</v>
      </c>
      <c r="I104" s="8" t="inlineStr">
        <is>
          <t>FOKUS_Haven</t>
        </is>
      </c>
    </row>
    <row r="105">
      <c r="A105" s="12" t="inlineStr">
        <is>
          <t>FOKUS</t>
        </is>
      </c>
      <c r="B105" s="12" t="inlineStr">
        <is>
          <t>Haven</t>
        </is>
      </c>
      <c r="C105" s="12" t="inlineStr">
        <is>
          <t>C</t>
        </is>
      </c>
      <c r="D105" s="12" t="inlineStr">
        <is>
          <t>def</t>
        </is>
      </c>
      <c r="E105" s="12" t="n">
        <v>26</v>
      </c>
      <c r="F105" s="12" t="n">
        <v>10</v>
      </c>
      <c r="G105" s="12" t="n">
        <v>16</v>
      </c>
      <c r="H105" s="12" t="n">
        <v>38.46</v>
      </c>
      <c r="I105" s="12" t="inlineStr">
        <is>
          <t>FOKUS_Haven</t>
        </is>
      </c>
    </row>
    <row r="106">
      <c r="A106" s="8" t="inlineStr">
        <is>
          <t>FOKUS</t>
        </is>
      </c>
      <c r="B106" s="8" t="inlineStr">
        <is>
          <t>Pearl</t>
        </is>
      </c>
      <c r="C106" s="8" t="inlineStr">
        <is>
          <t>A</t>
        </is>
      </c>
      <c r="D106" s="8" t="inlineStr">
        <is>
          <t>atk</t>
        </is>
      </c>
      <c r="E106" s="8" t="n">
        <v>13</v>
      </c>
      <c r="F106" s="8" t="n">
        <v>10</v>
      </c>
      <c r="G106" s="8" t="n">
        <v>3</v>
      </c>
      <c r="H106" s="8" t="n">
        <v>76.92</v>
      </c>
      <c r="I106" s="8" t="inlineStr">
        <is>
          <t>FOKUS_Pearl</t>
        </is>
      </c>
    </row>
    <row r="107">
      <c r="A107" s="12" t="inlineStr">
        <is>
          <t>FOKUS</t>
        </is>
      </c>
      <c r="B107" s="12" t="inlineStr">
        <is>
          <t>Pearl</t>
        </is>
      </c>
      <c r="C107" s="12" t="inlineStr">
        <is>
          <t>A</t>
        </is>
      </c>
      <c r="D107" s="12" t="inlineStr">
        <is>
          <t>def</t>
        </is>
      </c>
      <c r="E107" s="12" t="n">
        <v>9</v>
      </c>
      <c r="F107" s="12" t="n">
        <v>1</v>
      </c>
      <c r="G107" s="12" t="n">
        <v>8</v>
      </c>
      <c r="H107" s="12" t="n">
        <v>11.11</v>
      </c>
      <c r="I107" s="12" t="inlineStr">
        <is>
          <t>FOKUS_Pearl</t>
        </is>
      </c>
    </row>
    <row r="108">
      <c r="A108" s="8" t="inlineStr">
        <is>
          <t>FOKUS</t>
        </is>
      </c>
      <c r="B108" s="8" t="inlineStr">
        <is>
          <t>Pearl</t>
        </is>
      </c>
      <c r="C108" s="8" t="inlineStr">
        <is>
          <t>B</t>
        </is>
      </c>
      <c r="D108" s="8" t="inlineStr">
        <is>
          <t>atk</t>
        </is>
      </c>
      <c r="E108" s="8" t="n">
        <v>7</v>
      </c>
      <c r="F108" s="8" t="n">
        <v>5</v>
      </c>
      <c r="G108" s="8" t="n">
        <v>2</v>
      </c>
      <c r="H108" s="8" t="n">
        <v>71.43000000000001</v>
      </c>
      <c r="I108" s="8" t="inlineStr">
        <is>
          <t>FOKUS_Pearl</t>
        </is>
      </c>
    </row>
    <row r="109">
      <c r="A109" s="12" t="inlineStr">
        <is>
          <t>FOKUS</t>
        </is>
      </c>
      <c r="B109" s="12" t="inlineStr">
        <is>
          <t>Pearl</t>
        </is>
      </c>
      <c r="C109" s="12" t="inlineStr">
        <is>
          <t>B</t>
        </is>
      </c>
      <c r="D109" s="12" t="inlineStr">
        <is>
          <t>def</t>
        </is>
      </c>
      <c r="E109" s="12" t="n">
        <v>7</v>
      </c>
      <c r="F109" s="12" t="n">
        <v>2</v>
      </c>
      <c r="G109" s="12" t="n">
        <v>5</v>
      </c>
      <c r="H109" s="12" t="n">
        <v>28.57</v>
      </c>
      <c r="I109" s="12" t="inlineStr">
        <is>
          <t>FOKUS_Pearl</t>
        </is>
      </c>
    </row>
    <row r="110">
      <c r="A110" s="8" t="inlineStr">
        <is>
          <t>FOKUS</t>
        </is>
      </c>
      <c r="B110" s="8" t="inlineStr">
        <is>
          <t>Split</t>
        </is>
      </c>
      <c r="C110" s="8" t="inlineStr">
        <is>
          <t>A</t>
        </is>
      </c>
      <c r="D110" s="8" t="inlineStr">
        <is>
          <t>atk</t>
        </is>
      </c>
      <c r="E110" s="8" t="n">
        <v>17</v>
      </c>
      <c r="F110" s="8" t="n">
        <v>12</v>
      </c>
      <c r="G110" s="8" t="n">
        <v>5</v>
      </c>
      <c r="H110" s="8" t="n">
        <v>70.59</v>
      </c>
      <c r="I110" s="8" t="inlineStr">
        <is>
          <t>FOKUS_Split</t>
        </is>
      </c>
    </row>
    <row r="111">
      <c r="A111" s="12" t="inlineStr">
        <is>
          <t>FOKUS</t>
        </is>
      </c>
      <c r="B111" s="12" t="inlineStr">
        <is>
          <t>Split</t>
        </is>
      </c>
      <c r="C111" s="12" t="inlineStr">
        <is>
          <t>A</t>
        </is>
      </c>
      <c r="D111" s="12" t="inlineStr">
        <is>
          <t>def</t>
        </is>
      </c>
      <c r="E111" s="12" t="n">
        <v>11</v>
      </c>
      <c r="F111" s="12" t="n">
        <v>2</v>
      </c>
      <c r="G111" s="12" t="n">
        <v>9</v>
      </c>
      <c r="H111" s="12" t="n">
        <v>18.18</v>
      </c>
      <c r="I111" s="12" t="inlineStr">
        <is>
          <t>FOKUS_Split</t>
        </is>
      </c>
    </row>
    <row r="112">
      <c r="A112" s="8" t="inlineStr">
        <is>
          <t>FOKUS</t>
        </is>
      </c>
      <c r="B112" s="8" t="inlineStr">
        <is>
          <t>Split</t>
        </is>
      </c>
      <c r="C112" s="8" t="inlineStr">
        <is>
          <t>B</t>
        </is>
      </c>
      <c r="D112" s="8" t="inlineStr">
        <is>
          <t>atk</t>
        </is>
      </c>
      <c r="E112" s="8" t="n">
        <v>16</v>
      </c>
      <c r="F112" s="8" t="n">
        <v>14</v>
      </c>
      <c r="G112" s="8" t="n">
        <v>2</v>
      </c>
      <c r="H112" s="8" t="n">
        <v>87.5</v>
      </c>
      <c r="I112" s="8" t="inlineStr">
        <is>
          <t>FOKUS_Split</t>
        </is>
      </c>
    </row>
    <row r="113">
      <c r="A113" s="12" t="inlineStr">
        <is>
          <t>FOKUS</t>
        </is>
      </c>
      <c r="B113" s="12" t="inlineStr">
        <is>
          <t>Split</t>
        </is>
      </c>
      <c r="C113" s="12" t="inlineStr">
        <is>
          <t>B</t>
        </is>
      </c>
      <c r="D113" s="12" t="inlineStr">
        <is>
          <t>def</t>
        </is>
      </c>
      <c r="E113" s="12" t="n">
        <v>22</v>
      </c>
      <c r="F113" s="12" t="n">
        <v>7</v>
      </c>
      <c r="G113" s="12" t="n">
        <v>15</v>
      </c>
      <c r="H113" s="12" t="n">
        <v>31.82</v>
      </c>
      <c r="I113" s="12" t="inlineStr">
        <is>
          <t>FOKUS_Split</t>
        </is>
      </c>
    </row>
    <row r="114">
      <c r="A114" s="8" t="inlineStr">
        <is>
          <t>GnG Amazigh</t>
        </is>
      </c>
      <c r="B114" s="8" t="inlineStr">
        <is>
          <t>Abyss</t>
        </is>
      </c>
      <c r="C114" s="8" t="inlineStr">
        <is>
          <t>A</t>
        </is>
      </c>
      <c r="D114" s="8" t="inlineStr">
        <is>
          <t>atk</t>
        </is>
      </c>
      <c r="E114" s="8" t="n">
        <v>18</v>
      </c>
      <c r="F114" s="8" t="n">
        <v>10</v>
      </c>
      <c r="G114" s="8" t="n">
        <v>8</v>
      </c>
      <c r="H114" s="8" t="n">
        <v>55.56</v>
      </c>
      <c r="I114" s="8" t="inlineStr">
        <is>
          <t>GnG Amazigh_Abyss</t>
        </is>
      </c>
    </row>
    <row r="115">
      <c r="A115" s="12" t="inlineStr">
        <is>
          <t>GnG Amazigh</t>
        </is>
      </c>
      <c r="B115" s="12" t="inlineStr">
        <is>
          <t>Abyss</t>
        </is>
      </c>
      <c r="C115" s="12" t="inlineStr">
        <is>
          <t>A</t>
        </is>
      </c>
      <c r="D115" s="12" t="inlineStr">
        <is>
          <t>def</t>
        </is>
      </c>
      <c r="E115" s="12" t="n">
        <v>5</v>
      </c>
      <c r="F115" s="12" t="n">
        <v>2</v>
      </c>
      <c r="G115" s="12" t="n">
        <v>3</v>
      </c>
      <c r="H115" s="12" t="n">
        <v>40</v>
      </c>
      <c r="I115" s="12" t="inlineStr">
        <is>
          <t>GnG Amazigh_Abyss</t>
        </is>
      </c>
    </row>
    <row r="116">
      <c r="A116" s="8" t="inlineStr">
        <is>
          <t>GnG Amazigh</t>
        </is>
      </c>
      <c r="B116" s="8" t="inlineStr">
        <is>
          <t>Abyss</t>
        </is>
      </c>
      <c r="C116" s="8" t="inlineStr">
        <is>
          <t>B</t>
        </is>
      </c>
      <c r="D116" s="8" t="inlineStr">
        <is>
          <t>atk</t>
        </is>
      </c>
      <c r="E116" s="8" t="n">
        <v>8</v>
      </c>
      <c r="F116" s="8" t="n">
        <v>2</v>
      </c>
      <c r="G116" s="8" t="n">
        <v>6</v>
      </c>
      <c r="H116" s="8" t="n">
        <v>25</v>
      </c>
      <c r="I116" s="8" t="inlineStr">
        <is>
          <t>GnG Amazigh_Abyss</t>
        </is>
      </c>
    </row>
    <row r="117">
      <c r="A117" s="12" t="inlineStr">
        <is>
          <t>GnG Amazigh</t>
        </is>
      </c>
      <c r="B117" s="12" t="inlineStr">
        <is>
          <t>Abyss</t>
        </is>
      </c>
      <c r="C117" s="12" t="inlineStr">
        <is>
          <t>B</t>
        </is>
      </c>
      <c r="D117" s="12" t="inlineStr">
        <is>
          <t>def</t>
        </is>
      </c>
      <c r="E117" s="12" t="n">
        <v>8</v>
      </c>
      <c r="F117" s="12" t="n">
        <v>2</v>
      </c>
      <c r="G117" s="12" t="n">
        <v>6</v>
      </c>
      <c r="H117" s="12" t="n">
        <v>25</v>
      </c>
      <c r="I117" s="12" t="inlineStr">
        <is>
          <t>GnG Amazigh_Abyss</t>
        </is>
      </c>
    </row>
    <row r="118">
      <c r="A118" s="8" t="inlineStr">
        <is>
          <t>GnG Amazigh</t>
        </is>
      </c>
      <c r="B118" s="8" t="inlineStr">
        <is>
          <t>Bind</t>
        </is>
      </c>
      <c r="C118" s="8" t="inlineStr">
        <is>
          <t>A</t>
        </is>
      </c>
      <c r="D118" s="8" t="inlineStr">
        <is>
          <t>atk</t>
        </is>
      </c>
      <c r="E118" s="8" t="n">
        <v>32</v>
      </c>
      <c r="F118" s="8" t="n">
        <v>22</v>
      </c>
      <c r="G118" s="8" t="n">
        <v>10</v>
      </c>
      <c r="H118" s="8" t="n">
        <v>68.75</v>
      </c>
      <c r="I118" s="8" t="inlineStr">
        <is>
          <t>GnG Amazigh_Bind</t>
        </is>
      </c>
    </row>
    <row r="119">
      <c r="A119" s="12" t="inlineStr">
        <is>
          <t>GnG Amazigh</t>
        </is>
      </c>
      <c r="B119" s="12" t="inlineStr">
        <is>
          <t>Bind</t>
        </is>
      </c>
      <c r="C119" s="12" t="inlineStr">
        <is>
          <t>A</t>
        </is>
      </c>
      <c r="D119" s="12" t="inlineStr">
        <is>
          <t>def</t>
        </is>
      </c>
      <c r="E119" s="12" t="n">
        <v>38</v>
      </c>
      <c r="F119" s="12" t="n">
        <v>13</v>
      </c>
      <c r="G119" s="12" t="n">
        <v>25</v>
      </c>
      <c r="H119" s="12" t="n">
        <v>34.21</v>
      </c>
      <c r="I119" s="12" t="inlineStr">
        <is>
          <t>GnG Amazigh_Bind</t>
        </is>
      </c>
    </row>
    <row r="120">
      <c r="A120" s="8" t="inlineStr">
        <is>
          <t>GnG Amazigh</t>
        </is>
      </c>
      <c r="B120" s="8" t="inlineStr">
        <is>
          <t>Bind</t>
        </is>
      </c>
      <c r="C120" s="8" t="inlineStr">
        <is>
          <t>B</t>
        </is>
      </c>
      <c r="D120" s="8" t="inlineStr">
        <is>
          <t>atk</t>
        </is>
      </c>
      <c r="E120" s="8" t="n">
        <v>34</v>
      </c>
      <c r="F120" s="8" t="n">
        <v>26</v>
      </c>
      <c r="G120" s="8" t="n">
        <v>8</v>
      </c>
      <c r="H120" s="8" t="n">
        <v>76.47</v>
      </c>
      <c r="I120" s="8" t="inlineStr">
        <is>
          <t>GnG Amazigh_Bind</t>
        </is>
      </c>
    </row>
    <row r="121">
      <c r="A121" s="12" t="inlineStr">
        <is>
          <t>GnG Amazigh</t>
        </is>
      </c>
      <c r="B121" s="12" t="inlineStr">
        <is>
          <t>Bind</t>
        </is>
      </c>
      <c r="C121" s="12" t="inlineStr">
        <is>
          <t>B</t>
        </is>
      </c>
      <c r="D121" s="12" t="inlineStr">
        <is>
          <t>def</t>
        </is>
      </c>
      <c r="E121" s="12" t="n">
        <v>21</v>
      </c>
      <c r="F121" s="12" t="n">
        <v>5</v>
      </c>
      <c r="G121" s="12" t="n">
        <v>16</v>
      </c>
      <c r="H121" s="12" t="n">
        <v>23.81</v>
      </c>
      <c r="I121" s="12" t="inlineStr">
        <is>
          <t>GnG Amazigh_Bind</t>
        </is>
      </c>
    </row>
    <row r="122">
      <c r="A122" s="8" t="inlineStr">
        <is>
          <t>GnG Amazigh</t>
        </is>
      </c>
      <c r="B122" s="8" t="inlineStr">
        <is>
          <t>Corrode</t>
        </is>
      </c>
      <c r="C122" s="8" t="inlineStr">
        <is>
          <t>A</t>
        </is>
      </c>
      <c r="D122" s="8" t="inlineStr">
        <is>
          <t>def</t>
        </is>
      </c>
      <c r="E122" s="8" t="n">
        <v>21</v>
      </c>
      <c r="F122" s="8" t="n">
        <v>8</v>
      </c>
      <c r="G122" s="8" t="n">
        <v>13</v>
      </c>
      <c r="H122" s="8" t="n">
        <v>38.1</v>
      </c>
      <c r="I122" s="8" t="inlineStr">
        <is>
          <t>GnG Amazigh_Corrode</t>
        </is>
      </c>
    </row>
    <row r="123">
      <c r="A123" s="12" t="inlineStr">
        <is>
          <t>GnG Amazigh</t>
        </is>
      </c>
      <c r="B123" s="12" t="inlineStr">
        <is>
          <t>Corrode</t>
        </is>
      </c>
      <c r="C123" s="12" t="inlineStr">
        <is>
          <t>A</t>
        </is>
      </c>
      <c r="D123" s="12" t="inlineStr">
        <is>
          <t>atk</t>
        </is>
      </c>
      <c r="E123" s="12" t="n">
        <v>14</v>
      </c>
      <c r="F123" s="12" t="n">
        <v>9</v>
      </c>
      <c r="G123" s="12" t="n">
        <v>5</v>
      </c>
      <c r="H123" s="12" t="n">
        <v>64.29000000000001</v>
      </c>
      <c r="I123" s="12" t="inlineStr">
        <is>
          <t>GnG Amazigh_Corrode</t>
        </is>
      </c>
    </row>
    <row r="124">
      <c r="A124" s="8" t="inlineStr">
        <is>
          <t>GnG Amazigh</t>
        </is>
      </c>
      <c r="B124" s="8" t="inlineStr">
        <is>
          <t>Corrode</t>
        </is>
      </c>
      <c r="C124" s="8" t="inlineStr">
        <is>
          <t>B</t>
        </is>
      </c>
      <c r="D124" s="8" t="inlineStr">
        <is>
          <t>def</t>
        </is>
      </c>
      <c r="E124" s="8" t="n">
        <v>26</v>
      </c>
      <c r="F124" s="8" t="n">
        <v>10</v>
      </c>
      <c r="G124" s="8" t="n">
        <v>16</v>
      </c>
      <c r="H124" s="8" t="n">
        <v>38.46</v>
      </c>
      <c r="I124" s="8" t="inlineStr">
        <is>
          <t>GnG Amazigh_Corrode</t>
        </is>
      </c>
    </row>
    <row r="125">
      <c r="A125" s="12" t="inlineStr">
        <is>
          <t>GnG Amazigh</t>
        </is>
      </c>
      <c r="B125" s="12" t="inlineStr">
        <is>
          <t>Corrode</t>
        </is>
      </c>
      <c r="C125" s="12" t="inlineStr">
        <is>
          <t>B</t>
        </is>
      </c>
      <c r="D125" s="12" t="inlineStr">
        <is>
          <t>atk</t>
        </is>
      </c>
      <c r="E125" s="12" t="n">
        <v>11</v>
      </c>
      <c r="F125" s="12" t="n">
        <v>5</v>
      </c>
      <c r="G125" s="12" t="n">
        <v>6</v>
      </c>
      <c r="H125" s="12" t="n">
        <v>45.45</v>
      </c>
      <c r="I125" s="12" t="inlineStr">
        <is>
          <t>GnG Amazigh_Corrode</t>
        </is>
      </c>
    </row>
    <row r="126">
      <c r="A126" s="8" t="inlineStr">
        <is>
          <t>GnG Amazigh</t>
        </is>
      </c>
      <c r="B126" s="8" t="inlineStr">
        <is>
          <t>Haven</t>
        </is>
      </c>
      <c r="C126" s="8" t="inlineStr">
        <is>
          <t>A</t>
        </is>
      </c>
      <c r="D126" s="8" t="inlineStr">
        <is>
          <t>def</t>
        </is>
      </c>
      <c r="E126" s="8" t="n">
        <v>15</v>
      </c>
      <c r="F126" s="8" t="n">
        <v>3</v>
      </c>
      <c r="G126" s="8" t="n">
        <v>12</v>
      </c>
      <c r="H126" s="8" t="n">
        <v>20</v>
      </c>
      <c r="I126" s="8" t="inlineStr">
        <is>
          <t>GnG Amazigh_Haven</t>
        </is>
      </c>
    </row>
    <row r="127">
      <c r="A127" s="12" t="inlineStr">
        <is>
          <t>GnG Amazigh</t>
        </is>
      </c>
      <c r="B127" s="12" t="inlineStr">
        <is>
          <t>Haven</t>
        </is>
      </c>
      <c r="C127" s="12" t="inlineStr">
        <is>
          <t>A</t>
        </is>
      </c>
      <c r="D127" s="12" t="inlineStr">
        <is>
          <t>atk</t>
        </is>
      </c>
      <c r="E127" s="12" t="n">
        <v>24</v>
      </c>
      <c r="F127" s="12" t="n">
        <v>20</v>
      </c>
      <c r="G127" s="12" t="n">
        <v>4</v>
      </c>
      <c r="H127" s="12" t="n">
        <v>83.33</v>
      </c>
      <c r="I127" s="12" t="inlineStr">
        <is>
          <t>GnG Amazigh_Haven</t>
        </is>
      </c>
    </row>
    <row r="128">
      <c r="A128" s="8" t="inlineStr">
        <is>
          <t>GnG Amazigh</t>
        </is>
      </c>
      <c r="B128" s="8" t="inlineStr">
        <is>
          <t>Haven</t>
        </is>
      </c>
      <c r="C128" s="8" t="inlineStr">
        <is>
          <t>B</t>
        </is>
      </c>
      <c r="D128" s="8" t="inlineStr">
        <is>
          <t>def</t>
        </is>
      </c>
      <c r="E128" s="8" t="n">
        <v>9</v>
      </c>
      <c r="F128" s="8" t="n">
        <v>3</v>
      </c>
      <c r="G128" s="8" t="n">
        <v>6</v>
      </c>
      <c r="H128" s="8" t="n">
        <v>33.33</v>
      </c>
      <c r="I128" s="8" t="inlineStr">
        <is>
          <t>GnG Amazigh_Haven</t>
        </is>
      </c>
    </row>
    <row r="129">
      <c r="A129" s="12" t="inlineStr">
        <is>
          <t>GnG Amazigh</t>
        </is>
      </c>
      <c r="B129" s="12" t="inlineStr">
        <is>
          <t>Haven</t>
        </is>
      </c>
      <c r="C129" s="12" t="inlineStr">
        <is>
          <t>B</t>
        </is>
      </c>
      <c r="D129" s="12" t="inlineStr">
        <is>
          <t>atk</t>
        </is>
      </c>
      <c r="E129" s="12" t="n">
        <v>8</v>
      </c>
      <c r="F129" s="12" t="n">
        <v>7</v>
      </c>
      <c r="G129" s="12" t="n">
        <v>1</v>
      </c>
      <c r="H129" s="12" t="n">
        <v>87.5</v>
      </c>
      <c r="I129" s="12" t="inlineStr">
        <is>
          <t>GnG Amazigh_Haven</t>
        </is>
      </c>
    </row>
    <row r="130">
      <c r="A130" s="8" t="inlineStr">
        <is>
          <t>GnG Amazigh</t>
        </is>
      </c>
      <c r="B130" s="8" t="inlineStr">
        <is>
          <t>Haven</t>
        </is>
      </c>
      <c r="C130" s="8" t="inlineStr">
        <is>
          <t>C</t>
        </is>
      </c>
      <c r="D130" s="8" t="inlineStr">
        <is>
          <t>def</t>
        </is>
      </c>
      <c r="E130" s="8" t="n">
        <v>25</v>
      </c>
      <c r="F130" s="8" t="n">
        <v>6</v>
      </c>
      <c r="G130" s="8" t="n">
        <v>19</v>
      </c>
      <c r="H130" s="8" t="n">
        <v>24</v>
      </c>
      <c r="I130" s="8" t="inlineStr">
        <is>
          <t>GnG Amazigh_Haven</t>
        </is>
      </c>
    </row>
    <row r="131">
      <c r="A131" s="12" t="inlineStr">
        <is>
          <t>GnG Amazigh</t>
        </is>
      </c>
      <c r="B131" s="12" t="inlineStr">
        <is>
          <t>Haven</t>
        </is>
      </c>
      <c r="C131" s="12" t="inlineStr">
        <is>
          <t>C</t>
        </is>
      </c>
      <c r="D131" s="12" t="inlineStr">
        <is>
          <t>atk</t>
        </is>
      </c>
      <c r="E131" s="12" t="n">
        <v>19</v>
      </c>
      <c r="F131" s="12" t="n">
        <v>13</v>
      </c>
      <c r="G131" s="12" t="n">
        <v>6</v>
      </c>
      <c r="H131" s="12" t="n">
        <v>68.42</v>
      </c>
      <c r="I131" s="12" t="inlineStr">
        <is>
          <t>GnG Amazigh_Haven</t>
        </is>
      </c>
    </row>
    <row r="132">
      <c r="A132" s="8" t="inlineStr">
        <is>
          <t>GnG Amazigh</t>
        </is>
      </c>
      <c r="B132" s="8" t="inlineStr">
        <is>
          <t>Pearl</t>
        </is>
      </c>
      <c r="C132" s="8" t="inlineStr">
        <is>
          <t>A</t>
        </is>
      </c>
      <c r="D132" s="8" t="inlineStr">
        <is>
          <t>atk</t>
        </is>
      </c>
      <c r="E132" s="8" t="n">
        <v>15</v>
      </c>
      <c r="F132" s="8" t="n">
        <v>12</v>
      </c>
      <c r="G132" s="8" t="n">
        <v>3</v>
      </c>
      <c r="H132" s="8" t="n">
        <v>80</v>
      </c>
      <c r="I132" s="8" t="inlineStr">
        <is>
          <t>GnG Amazigh_Pearl</t>
        </is>
      </c>
    </row>
    <row r="133">
      <c r="A133" s="12" t="inlineStr">
        <is>
          <t>GnG Amazigh</t>
        </is>
      </c>
      <c r="B133" s="12" t="inlineStr">
        <is>
          <t>Pearl</t>
        </is>
      </c>
      <c r="C133" s="12" t="inlineStr">
        <is>
          <t>A</t>
        </is>
      </c>
      <c r="D133" s="12" t="inlineStr">
        <is>
          <t>def</t>
        </is>
      </c>
      <c r="E133" s="12" t="n">
        <v>25</v>
      </c>
      <c r="F133" s="12" t="n">
        <v>6</v>
      </c>
      <c r="G133" s="12" t="n">
        <v>19</v>
      </c>
      <c r="H133" s="12" t="n">
        <v>24</v>
      </c>
      <c r="I133" s="12" t="inlineStr">
        <is>
          <t>GnG Amazigh_Pearl</t>
        </is>
      </c>
    </row>
    <row r="134">
      <c r="A134" s="8" t="inlineStr">
        <is>
          <t>GnG Amazigh</t>
        </is>
      </c>
      <c r="B134" s="8" t="inlineStr">
        <is>
          <t>Pearl</t>
        </is>
      </c>
      <c r="C134" s="8" t="inlineStr">
        <is>
          <t>B</t>
        </is>
      </c>
      <c r="D134" s="8" t="inlineStr">
        <is>
          <t>atk</t>
        </is>
      </c>
      <c r="E134" s="8" t="n">
        <v>14</v>
      </c>
      <c r="F134" s="8" t="n">
        <v>12</v>
      </c>
      <c r="G134" s="8" t="n">
        <v>2</v>
      </c>
      <c r="H134" s="8" t="n">
        <v>85.70999999999999</v>
      </c>
      <c r="I134" s="8" t="inlineStr">
        <is>
          <t>GnG Amazigh_Pearl</t>
        </is>
      </c>
    </row>
    <row r="135">
      <c r="A135" s="12" t="inlineStr">
        <is>
          <t>GnG Amazigh</t>
        </is>
      </c>
      <c r="B135" s="12" t="inlineStr">
        <is>
          <t>Pearl</t>
        </is>
      </c>
      <c r="C135" s="12" t="inlineStr">
        <is>
          <t>B</t>
        </is>
      </c>
      <c r="D135" s="12" t="inlineStr">
        <is>
          <t>def</t>
        </is>
      </c>
      <c r="E135" s="12" t="n">
        <v>19</v>
      </c>
      <c r="F135" s="12" t="n">
        <v>4</v>
      </c>
      <c r="G135" s="12" t="n">
        <v>15</v>
      </c>
      <c r="H135" s="12" t="n">
        <v>21.05</v>
      </c>
      <c r="I135" s="12" t="inlineStr">
        <is>
          <t>GnG Amazigh_Pearl</t>
        </is>
      </c>
    </row>
    <row r="136">
      <c r="A136" s="8" t="inlineStr">
        <is>
          <t>GnG Amazigh</t>
        </is>
      </c>
      <c r="B136" s="8" t="inlineStr">
        <is>
          <t>Split</t>
        </is>
      </c>
      <c r="C136" s="8" t="inlineStr">
        <is>
          <t>A</t>
        </is>
      </c>
      <c r="D136" s="8" t="inlineStr">
        <is>
          <t>atk</t>
        </is>
      </c>
      <c r="E136" s="8" t="n">
        <v>13</v>
      </c>
      <c r="F136" s="8" t="n">
        <v>9</v>
      </c>
      <c r="G136" s="8" t="n">
        <v>4</v>
      </c>
      <c r="H136" s="8" t="n">
        <v>69.23</v>
      </c>
      <c r="I136" s="8" t="inlineStr">
        <is>
          <t>GnG Amazigh_Split</t>
        </is>
      </c>
    </row>
    <row r="137">
      <c r="A137" s="12" t="inlineStr">
        <is>
          <t>GnG Amazigh</t>
        </is>
      </c>
      <c r="B137" s="12" t="inlineStr">
        <is>
          <t>Split</t>
        </is>
      </c>
      <c r="C137" s="12" t="inlineStr">
        <is>
          <t>A</t>
        </is>
      </c>
      <c r="D137" s="12" t="inlineStr">
        <is>
          <t>def</t>
        </is>
      </c>
      <c r="E137" s="12" t="n">
        <v>11</v>
      </c>
      <c r="F137" s="12" t="n">
        <v>3</v>
      </c>
      <c r="G137" s="12" t="n">
        <v>8</v>
      </c>
      <c r="H137" s="12" t="n">
        <v>27.27</v>
      </c>
      <c r="I137" s="12" t="inlineStr">
        <is>
          <t>GnG Amazigh_Split</t>
        </is>
      </c>
    </row>
    <row r="138">
      <c r="A138" s="8" t="inlineStr">
        <is>
          <t>GnG Amazigh</t>
        </is>
      </c>
      <c r="B138" s="8" t="inlineStr">
        <is>
          <t>Split</t>
        </is>
      </c>
      <c r="C138" s="8" t="inlineStr">
        <is>
          <t>B</t>
        </is>
      </c>
      <c r="D138" s="8" t="inlineStr">
        <is>
          <t>atk</t>
        </is>
      </c>
      <c r="E138" s="8" t="n">
        <v>14</v>
      </c>
      <c r="F138" s="8" t="n">
        <v>11</v>
      </c>
      <c r="G138" s="8" t="n">
        <v>3</v>
      </c>
      <c r="H138" s="8" t="n">
        <v>78.56999999999999</v>
      </c>
      <c r="I138" s="8" t="inlineStr">
        <is>
          <t>GnG Amazigh_Split</t>
        </is>
      </c>
    </row>
    <row r="139">
      <c r="A139" s="12" t="inlineStr">
        <is>
          <t>GnG Amazigh</t>
        </is>
      </c>
      <c r="B139" s="12" t="inlineStr">
        <is>
          <t>Split</t>
        </is>
      </c>
      <c r="C139" s="12" t="inlineStr">
        <is>
          <t>B</t>
        </is>
      </c>
      <c r="D139" s="12" t="inlineStr">
        <is>
          <t>def</t>
        </is>
      </c>
      <c r="E139" s="12" t="n">
        <v>10</v>
      </c>
      <c r="F139" s="12" t="n">
        <v>6</v>
      </c>
      <c r="G139" s="12" t="n">
        <v>4</v>
      </c>
      <c r="H139" s="12" t="n">
        <v>60</v>
      </c>
      <c r="I139" s="12" t="inlineStr">
        <is>
          <t>GnG Amazigh_Split</t>
        </is>
      </c>
    </row>
    <row r="140">
      <c r="A140" s="8" t="inlineStr">
        <is>
          <t>Joblife</t>
        </is>
      </c>
      <c r="B140" s="8" t="inlineStr">
        <is>
          <t>Abyss</t>
        </is>
      </c>
      <c r="C140" s="8" t="inlineStr">
        <is>
          <t>A</t>
        </is>
      </c>
      <c r="D140" s="8" t="inlineStr">
        <is>
          <t>atk</t>
        </is>
      </c>
      <c r="E140" s="8" t="n">
        <v>24</v>
      </c>
      <c r="F140" s="8" t="n">
        <v>19</v>
      </c>
      <c r="G140" s="8" t="n">
        <v>5</v>
      </c>
      <c r="H140" s="8" t="n">
        <v>79.17</v>
      </c>
      <c r="I140" s="8" t="inlineStr">
        <is>
          <t>Joblife_Abyss</t>
        </is>
      </c>
    </row>
    <row r="141">
      <c r="A141" s="12" t="inlineStr">
        <is>
          <t>Joblife</t>
        </is>
      </c>
      <c r="B141" s="12" t="inlineStr">
        <is>
          <t>Abyss</t>
        </is>
      </c>
      <c r="C141" s="12" t="inlineStr">
        <is>
          <t>A</t>
        </is>
      </c>
      <c r="D141" s="12" t="inlineStr">
        <is>
          <t>def</t>
        </is>
      </c>
      <c r="E141" s="12" t="n">
        <v>21</v>
      </c>
      <c r="F141" s="12" t="n">
        <v>9</v>
      </c>
      <c r="G141" s="12" t="n">
        <v>12</v>
      </c>
      <c r="H141" s="12" t="n">
        <v>42.86</v>
      </c>
      <c r="I141" s="12" t="inlineStr">
        <is>
          <t>Joblife_Abyss</t>
        </is>
      </c>
    </row>
    <row r="142">
      <c r="A142" s="8" t="inlineStr">
        <is>
          <t>Joblife</t>
        </is>
      </c>
      <c r="B142" s="8" t="inlineStr">
        <is>
          <t>Abyss</t>
        </is>
      </c>
      <c r="C142" s="8" t="inlineStr">
        <is>
          <t>B</t>
        </is>
      </c>
      <c r="D142" s="8" t="inlineStr">
        <is>
          <t>atk</t>
        </is>
      </c>
      <c r="E142" s="8" t="n">
        <v>27</v>
      </c>
      <c r="F142" s="8" t="n">
        <v>24</v>
      </c>
      <c r="G142" s="8" t="n">
        <v>3</v>
      </c>
      <c r="H142" s="8" t="n">
        <v>88.89</v>
      </c>
      <c r="I142" s="8" t="inlineStr">
        <is>
          <t>Joblife_Abyss</t>
        </is>
      </c>
    </row>
    <row r="143">
      <c r="A143" s="12" t="inlineStr">
        <is>
          <t>Joblife</t>
        </is>
      </c>
      <c r="B143" s="12" t="inlineStr">
        <is>
          <t>Abyss</t>
        </is>
      </c>
      <c r="C143" s="12" t="inlineStr">
        <is>
          <t>B</t>
        </is>
      </c>
      <c r="D143" s="12" t="inlineStr">
        <is>
          <t>def</t>
        </is>
      </c>
      <c r="E143" s="12" t="n">
        <v>22</v>
      </c>
      <c r="F143" s="12" t="n">
        <v>4</v>
      </c>
      <c r="G143" s="12" t="n">
        <v>18</v>
      </c>
      <c r="H143" s="12" t="n">
        <v>18.18</v>
      </c>
      <c r="I143" s="12" t="inlineStr">
        <is>
          <t>Joblife_Abyss</t>
        </is>
      </c>
    </row>
    <row r="144">
      <c r="A144" s="8" t="inlineStr">
        <is>
          <t>Joblife</t>
        </is>
      </c>
      <c r="B144" s="8" t="inlineStr">
        <is>
          <t>Bind</t>
        </is>
      </c>
      <c r="C144" s="8" t="inlineStr">
        <is>
          <t>A</t>
        </is>
      </c>
      <c r="D144" s="8" t="inlineStr">
        <is>
          <t>atk</t>
        </is>
      </c>
      <c r="E144" s="8" t="n">
        <v>3</v>
      </c>
      <c r="F144" s="8" t="n">
        <v>1</v>
      </c>
      <c r="G144" s="8" t="n">
        <v>2</v>
      </c>
      <c r="H144" s="8" t="n">
        <v>33.33</v>
      </c>
      <c r="I144" s="8" t="inlineStr">
        <is>
          <t>Joblife_Bind</t>
        </is>
      </c>
    </row>
    <row r="145">
      <c r="A145" s="12" t="inlineStr">
        <is>
          <t>Joblife</t>
        </is>
      </c>
      <c r="B145" s="12" t="inlineStr">
        <is>
          <t>Bind</t>
        </is>
      </c>
      <c r="C145" s="12" t="inlineStr">
        <is>
          <t>A</t>
        </is>
      </c>
      <c r="D145" s="12" t="inlineStr">
        <is>
          <t>def</t>
        </is>
      </c>
      <c r="E145" s="12" t="n">
        <v>5</v>
      </c>
      <c r="F145" s="12" t="n">
        <v>3</v>
      </c>
      <c r="G145" s="12" t="n">
        <v>2</v>
      </c>
      <c r="H145" s="12" t="n">
        <v>60</v>
      </c>
      <c r="I145" s="12" t="inlineStr">
        <is>
          <t>Joblife_Bind</t>
        </is>
      </c>
    </row>
    <row r="146">
      <c r="A146" s="8" t="inlineStr">
        <is>
          <t>Joblife</t>
        </is>
      </c>
      <c r="B146" s="8" t="inlineStr">
        <is>
          <t>Bind</t>
        </is>
      </c>
      <c r="C146" s="8" t="inlineStr">
        <is>
          <t>B</t>
        </is>
      </c>
      <c r="D146" s="8" t="inlineStr">
        <is>
          <t>atk</t>
        </is>
      </c>
      <c r="E146" s="8" t="n">
        <v>7</v>
      </c>
      <c r="F146" s="8" t="n">
        <v>7</v>
      </c>
      <c r="G146" s="8" t="n">
        <v>0</v>
      </c>
      <c r="H146" s="8" t="n">
        <v>100</v>
      </c>
      <c r="I146" s="8" t="inlineStr">
        <is>
          <t>Joblife_Bind</t>
        </is>
      </c>
    </row>
    <row r="147">
      <c r="A147" s="12" t="inlineStr">
        <is>
          <t>Joblife</t>
        </is>
      </c>
      <c r="B147" s="12" t="inlineStr">
        <is>
          <t>Bind</t>
        </is>
      </c>
      <c r="C147" s="12" t="inlineStr">
        <is>
          <t>B</t>
        </is>
      </c>
      <c r="D147" s="12" t="inlineStr">
        <is>
          <t>def</t>
        </is>
      </c>
      <c r="E147" s="12" t="n">
        <v>5</v>
      </c>
      <c r="F147" s="12" t="n">
        <v>0</v>
      </c>
      <c r="G147" s="12" t="n">
        <v>5</v>
      </c>
      <c r="H147" s="12" t="n">
        <v>0</v>
      </c>
      <c r="I147" s="12" t="inlineStr">
        <is>
          <t>Joblife_Bind</t>
        </is>
      </c>
    </row>
    <row r="148">
      <c r="A148" s="8" t="inlineStr">
        <is>
          <t>Joblife</t>
        </is>
      </c>
      <c r="B148" s="8" t="inlineStr">
        <is>
          <t>Breeze</t>
        </is>
      </c>
      <c r="C148" s="8" t="inlineStr">
        <is>
          <t>A</t>
        </is>
      </c>
      <c r="D148" s="8" t="inlineStr">
        <is>
          <t>def</t>
        </is>
      </c>
      <c r="E148" s="8" t="n">
        <v>4</v>
      </c>
      <c r="F148" s="8" t="n">
        <v>1</v>
      </c>
      <c r="G148" s="8" t="n">
        <v>3</v>
      </c>
      <c r="H148" s="8" t="n">
        <v>25</v>
      </c>
      <c r="I148" s="8" t="inlineStr">
        <is>
          <t>Joblife_Breeze</t>
        </is>
      </c>
    </row>
    <row r="149">
      <c r="A149" s="12" t="inlineStr">
        <is>
          <t>Joblife</t>
        </is>
      </c>
      <c r="B149" s="12" t="inlineStr">
        <is>
          <t>Breeze</t>
        </is>
      </c>
      <c r="C149" s="12" t="inlineStr">
        <is>
          <t>A</t>
        </is>
      </c>
      <c r="D149" s="12" t="inlineStr">
        <is>
          <t>atk</t>
        </is>
      </c>
      <c r="E149" s="12" t="n">
        <v>6</v>
      </c>
      <c r="F149" s="12" t="n">
        <v>4</v>
      </c>
      <c r="G149" s="12" t="n">
        <v>2</v>
      </c>
      <c r="H149" s="12" t="n">
        <v>66.67</v>
      </c>
      <c r="I149" s="12" t="inlineStr">
        <is>
          <t>Joblife_Breeze</t>
        </is>
      </c>
    </row>
    <row r="150">
      <c r="A150" s="8" t="inlineStr">
        <is>
          <t>Joblife</t>
        </is>
      </c>
      <c r="B150" s="8" t="inlineStr">
        <is>
          <t>Breeze</t>
        </is>
      </c>
      <c r="C150" s="8" t="inlineStr">
        <is>
          <t>B</t>
        </is>
      </c>
      <c r="D150" s="8" t="inlineStr">
        <is>
          <t>def</t>
        </is>
      </c>
      <c r="E150" s="8" t="n">
        <v>4</v>
      </c>
      <c r="F150" s="8" t="n">
        <v>0</v>
      </c>
      <c r="G150" s="8" t="n">
        <v>4</v>
      </c>
      <c r="H150" s="8" t="n">
        <v>0</v>
      </c>
      <c r="I150" s="8" t="inlineStr">
        <is>
          <t>Joblife_Breeze</t>
        </is>
      </c>
    </row>
    <row r="151">
      <c r="A151" s="12" t="inlineStr">
        <is>
          <t>Joblife</t>
        </is>
      </c>
      <c r="B151" s="12" t="inlineStr">
        <is>
          <t>Corrode</t>
        </is>
      </c>
      <c r="C151" s="12" t="inlineStr">
        <is>
          <t>A</t>
        </is>
      </c>
      <c r="D151" s="12" t="inlineStr">
        <is>
          <t>def</t>
        </is>
      </c>
      <c r="E151" s="12" t="n">
        <v>26</v>
      </c>
      <c r="F151" s="12" t="n">
        <v>8</v>
      </c>
      <c r="G151" s="12" t="n">
        <v>18</v>
      </c>
      <c r="H151" s="12" t="n">
        <v>30.77</v>
      </c>
      <c r="I151" s="12" t="inlineStr">
        <is>
          <t>Joblife_Corrode</t>
        </is>
      </c>
    </row>
    <row r="152">
      <c r="A152" s="8" t="inlineStr">
        <is>
          <t>Joblife</t>
        </is>
      </c>
      <c r="B152" s="8" t="inlineStr">
        <is>
          <t>Corrode</t>
        </is>
      </c>
      <c r="C152" s="8" t="inlineStr">
        <is>
          <t>A</t>
        </is>
      </c>
      <c r="D152" s="8" t="inlineStr">
        <is>
          <t>atk</t>
        </is>
      </c>
      <c r="E152" s="8" t="n">
        <v>25</v>
      </c>
      <c r="F152" s="8" t="n">
        <v>18</v>
      </c>
      <c r="G152" s="8" t="n">
        <v>7</v>
      </c>
      <c r="H152" s="8" t="n">
        <v>72</v>
      </c>
      <c r="I152" s="8" t="inlineStr">
        <is>
          <t>Joblife_Corrode</t>
        </is>
      </c>
    </row>
    <row r="153">
      <c r="A153" s="12" t="inlineStr">
        <is>
          <t>Joblife</t>
        </is>
      </c>
      <c r="B153" s="12" t="inlineStr">
        <is>
          <t>Corrode</t>
        </is>
      </c>
      <c r="C153" s="12" t="inlineStr">
        <is>
          <t>B</t>
        </is>
      </c>
      <c r="D153" s="12" t="inlineStr">
        <is>
          <t>def</t>
        </is>
      </c>
      <c r="E153" s="12" t="n">
        <v>27</v>
      </c>
      <c r="F153" s="12" t="n">
        <v>9</v>
      </c>
      <c r="G153" s="12" t="n">
        <v>18</v>
      </c>
      <c r="H153" s="12" t="n">
        <v>33.33</v>
      </c>
      <c r="I153" s="12" t="inlineStr">
        <is>
          <t>Joblife_Corrode</t>
        </is>
      </c>
    </row>
    <row r="154">
      <c r="A154" s="8" t="inlineStr">
        <is>
          <t>Joblife</t>
        </is>
      </c>
      <c r="B154" s="8" t="inlineStr">
        <is>
          <t>Corrode</t>
        </is>
      </c>
      <c r="C154" s="8" t="inlineStr">
        <is>
          <t>B</t>
        </is>
      </c>
      <c r="D154" s="8" t="inlineStr">
        <is>
          <t>atk</t>
        </is>
      </c>
      <c r="E154" s="8" t="n">
        <v>27</v>
      </c>
      <c r="F154" s="8" t="n">
        <v>25</v>
      </c>
      <c r="G154" s="8" t="n">
        <v>2</v>
      </c>
      <c r="H154" s="8" t="n">
        <v>92.59</v>
      </c>
      <c r="I154" s="8" t="inlineStr">
        <is>
          <t>Joblife_Corrode</t>
        </is>
      </c>
    </row>
    <row r="155">
      <c r="A155" s="12" t="inlineStr">
        <is>
          <t>Joblife</t>
        </is>
      </c>
      <c r="B155" s="12" t="inlineStr">
        <is>
          <t>Haven</t>
        </is>
      </c>
      <c r="C155" s="12" t="inlineStr">
        <is>
          <t>A</t>
        </is>
      </c>
      <c r="D155" s="12" t="inlineStr">
        <is>
          <t>atk</t>
        </is>
      </c>
      <c r="E155" s="12" t="n">
        <v>19</v>
      </c>
      <c r="F155" s="12" t="n">
        <v>17</v>
      </c>
      <c r="G155" s="12" t="n">
        <v>2</v>
      </c>
      <c r="H155" s="12" t="n">
        <v>89.47</v>
      </c>
      <c r="I155" s="12" t="inlineStr">
        <is>
          <t>Joblife_Haven</t>
        </is>
      </c>
    </row>
    <row r="156">
      <c r="A156" s="8" t="inlineStr">
        <is>
          <t>Joblife</t>
        </is>
      </c>
      <c r="B156" s="8" t="inlineStr">
        <is>
          <t>Haven</t>
        </is>
      </c>
      <c r="C156" s="8" t="inlineStr">
        <is>
          <t>A</t>
        </is>
      </c>
      <c r="D156" s="8" t="inlineStr">
        <is>
          <t>def</t>
        </is>
      </c>
      <c r="E156" s="8" t="n">
        <v>15</v>
      </c>
      <c r="F156" s="8" t="n">
        <v>4</v>
      </c>
      <c r="G156" s="8" t="n">
        <v>11</v>
      </c>
      <c r="H156" s="8" t="n">
        <v>26.67</v>
      </c>
      <c r="I156" s="8" t="inlineStr">
        <is>
          <t>Joblife_Haven</t>
        </is>
      </c>
    </row>
    <row r="157">
      <c r="A157" s="12" t="inlineStr">
        <is>
          <t>Joblife</t>
        </is>
      </c>
      <c r="B157" s="12" t="inlineStr">
        <is>
          <t>Haven</t>
        </is>
      </c>
      <c r="C157" s="12" t="inlineStr">
        <is>
          <t>B</t>
        </is>
      </c>
      <c r="D157" s="12" t="inlineStr">
        <is>
          <t>atk</t>
        </is>
      </c>
      <c r="E157" s="12" t="n">
        <v>11</v>
      </c>
      <c r="F157" s="12" t="n">
        <v>6</v>
      </c>
      <c r="G157" s="12" t="n">
        <v>5</v>
      </c>
      <c r="H157" s="12" t="n">
        <v>54.55</v>
      </c>
      <c r="I157" s="12" t="inlineStr">
        <is>
          <t>Joblife_Haven</t>
        </is>
      </c>
    </row>
    <row r="158">
      <c r="A158" s="8" t="inlineStr">
        <is>
          <t>Joblife</t>
        </is>
      </c>
      <c r="B158" s="8" t="inlineStr">
        <is>
          <t>Haven</t>
        </is>
      </c>
      <c r="C158" s="8" t="inlineStr">
        <is>
          <t>B</t>
        </is>
      </c>
      <c r="D158" s="8" t="inlineStr">
        <is>
          <t>def</t>
        </is>
      </c>
      <c r="E158" s="8" t="n">
        <v>6</v>
      </c>
      <c r="F158" s="8" t="n">
        <v>2</v>
      </c>
      <c r="G158" s="8" t="n">
        <v>4</v>
      </c>
      <c r="H158" s="8" t="n">
        <v>33.33</v>
      </c>
      <c r="I158" s="8" t="inlineStr">
        <is>
          <t>Joblife_Haven</t>
        </is>
      </c>
    </row>
    <row r="159">
      <c r="A159" s="12" t="inlineStr">
        <is>
          <t>Joblife</t>
        </is>
      </c>
      <c r="B159" s="12" t="inlineStr">
        <is>
          <t>Haven</t>
        </is>
      </c>
      <c r="C159" s="12" t="inlineStr">
        <is>
          <t>C</t>
        </is>
      </c>
      <c r="D159" s="12" t="inlineStr">
        <is>
          <t>atk</t>
        </is>
      </c>
      <c r="E159" s="12" t="n">
        <v>19</v>
      </c>
      <c r="F159" s="12" t="n">
        <v>13</v>
      </c>
      <c r="G159" s="12" t="n">
        <v>6</v>
      </c>
      <c r="H159" s="12" t="n">
        <v>68.42</v>
      </c>
      <c r="I159" s="12" t="inlineStr">
        <is>
          <t>Joblife_Haven</t>
        </is>
      </c>
    </row>
    <row r="160">
      <c r="A160" s="8" t="inlineStr">
        <is>
          <t>Joblife</t>
        </is>
      </c>
      <c r="B160" s="8" t="inlineStr">
        <is>
          <t>Haven</t>
        </is>
      </c>
      <c r="C160" s="8" t="inlineStr">
        <is>
          <t>C</t>
        </is>
      </c>
      <c r="D160" s="8" t="inlineStr">
        <is>
          <t>def</t>
        </is>
      </c>
      <c r="E160" s="8" t="n">
        <v>16</v>
      </c>
      <c r="F160" s="8" t="n">
        <v>2</v>
      </c>
      <c r="G160" s="8" t="n">
        <v>14</v>
      </c>
      <c r="H160" s="8" t="n">
        <v>12.5</v>
      </c>
      <c r="I160" s="8" t="inlineStr">
        <is>
          <t>Joblife_Haven</t>
        </is>
      </c>
    </row>
    <row r="161">
      <c r="A161" s="12" t="inlineStr">
        <is>
          <t>Joblife</t>
        </is>
      </c>
      <c r="B161" s="12" t="inlineStr">
        <is>
          <t>Pearl</t>
        </is>
      </c>
      <c r="C161" s="12" t="inlineStr">
        <is>
          <t>A</t>
        </is>
      </c>
      <c r="D161" s="12" t="inlineStr">
        <is>
          <t>def</t>
        </is>
      </c>
      <c r="E161" s="12" t="n">
        <v>22</v>
      </c>
      <c r="F161" s="12" t="n">
        <v>7</v>
      </c>
      <c r="G161" s="12" t="n">
        <v>15</v>
      </c>
      <c r="H161" s="12" t="n">
        <v>31.82</v>
      </c>
      <c r="I161" s="12" t="inlineStr">
        <is>
          <t>Joblife_Pearl</t>
        </is>
      </c>
    </row>
    <row r="162">
      <c r="A162" s="8" t="inlineStr">
        <is>
          <t>Joblife</t>
        </is>
      </c>
      <c r="B162" s="8" t="inlineStr">
        <is>
          <t>Pearl</t>
        </is>
      </c>
      <c r="C162" s="8" t="inlineStr">
        <is>
          <t>A</t>
        </is>
      </c>
      <c r="D162" s="8" t="inlineStr">
        <is>
          <t>atk</t>
        </is>
      </c>
      <c r="E162" s="8" t="n">
        <v>20</v>
      </c>
      <c r="F162" s="8" t="n">
        <v>12</v>
      </c>
      <c r="G162" s="8" t="n">
        <v>8</v>
      </c>
      <c r="H162" s="8" t="n">
        <v>60</v>
      </c>
      <c r="I162" s="8" t="inlineStr">
        <is>
          <t>Joblife_Pearl</t>
        </is>
      </c>
    </row>
    <row r="163">
      <c r="A163" s="12" t="inlineStr">
        <is>
          <t>Joblife</t>
        </is>
      </c>
      <c r="B163" s="12" t="inlineStr">
        <is>
          <t>Pearl</t>
        </is>
      </c>
      <c r="C163" s="12" t="inlineStr">
        <is>
          <t>B</t>
        </is>
      </c>
      <c r="D163" s="12" t="inlineStr">
        <is>
          <t>def</t>
        </is>
      </c>
      <c r="E163" s="12" t="n">
        <v>21</v>
      </c>
      <c r="F163" s="12" t="n">
        <v>3</v>
      </c>
      <c r="G163" s="12" t="n">
        <v>18</v>
      </c>
      <c r="H163" s="12" t="n">
        <v>14.29</v>
      </c>
      <c r="I163" s="12" t="inlineStr">
        <is>
          <t>Joblife_Pearl</t>
        </is>
      </c>
    </row>
    <row r="164">
      <c r="A164" s="8" t="inlineStr">
        <is>
          <t>Joblife</t>
        </is>
      </c>
      <c r="B164" s="8" t="inlineStr">
        <is>
          <t>Pearl</t>
        </is>
      </c>
      <c r="C164" s="8" t="inlineStr">
        <is>
          <t>B</t>
        </is>
      </c>
      <c r="D164" s="8" t="inlineStr">
        <is>
          <t>atk</t>
        </is>
      </c>
      <c r="E164" s="8" t="n">
        <v>16</v>
      </c>
      <c r="F164" s="8" t="n">
        <v>13</v>
      </c>
      <c r="G164" s="8" t="n">
        <v>3</v>
      </c>
      <c r="H164" s="8" t="n">
        <v>81.25</v>
      </c>
      <c r="I164" s="8" t="inlineStr">
        <is>
          <t>Joblife_Pearl</t>
        </is>
      </c>
    </row>
    <row r="165">
      <c r="A165" s="12" t="inlineStr">
        <is>
          <t>Joblife</t>
        </is>
      </c>
      <c r="B165" s="12" t="inlineStr">
        <is>
          <t>Split</t>
        </is>
      </c>
      <c r="C165" s="12" t="inlineStr">
        <is>
          <t>A</t>
        </is>
      </c>
      <c r="D165" s="12" t="inlineStr">
        <is>
          <t>def</t>
        </is>
      </c>
      <c r="E165" s="12" t="n">
        <v>16</v>
      </c>
      <c r="F165" s="12" t="n">
        <v>6</v>
      </c>
      <c r="G165" s="12" t="n">
        <v>10</v>
      </c>
      <c r="H165" s="12" t="n">
        <v>37.5</v>
      </c>
      <c r="I165" s="12" t="inlineStr">
        <is>
          <t>Joblife_Split</t>
        </is>
      </c>
    </row>
    <row r="166">
      <c r="A166" s="8" t="inlineStr">
        <is>
          <t>Joblife</t>
        </is>
      </c>
      <c r="B166" s="8" t="inlineStr">
        <is>
          <t>Split</t>
        </is>
      </c>
      <c r="C166" s="8" t="inlineStr">
        <is>
          <t>A</t>
        </is>
      </c>
      <c r="D166" s="8" t="inlineStr">
        <is>
          <t>atk</t>
        </is>
      </c>
      <c r="E166" s="8" t="n">
        <v>16</v>
      </c>
      <c r="F166" s="8" t="n">
        <v>14</v>
      </c>
      <c r="G166" s="8" t="n">
        <v>2</v>
      </c>
      <c r="H166" s="8" t="n">
        <v>87.5</v>
      </c>
      <c r="I166" s="8" t="inlineStr">
        <is>
          <t>Joblife_Split</t>
        </is>
      </c>
    </row>
    <row r="167">
      <c r="A167" s="12" t="inlineStr">
        <is>
          <t>Joblife</t>
        </is>
      </c>
      <c r="B167" s="12" t="inlineStr">
        <is>
          <t>Split</t>
        </is>
      </c>
      <c r="C167" s="12" t="inlineStr">
        <is>
          <t>B</t>
        </is>
      </c>
      <c r="D167" s="12" t="inlineStr">
        <is>
          <t>def</t>
        </is>
      </c>
      <c r="E167" s="12" t="n">
        <v>18</v>
      </c>
      <c r="F167" s="12" t="n">
        <v>5</v>
      </c>
      <c r="G167" s="12" t="n">
        <v>13</v>
      </c>
      <c r="H167" s="12" t="n">
        <v>27.78</v>
      </c>
      <c r="I167" s="12" t="inlineStr">
        <is>
          <t>Joblife_Split</t>
        </is>
      </c>
    </row>
    <row r="168">
      <c r="A168" s="8" t="inlineStr">
        <is>
          <t>Joblife</t>
        </is>
      </c>
      <c r="B168" s="8" t="inlineStr">
        <is>
          <t>Split</t>
        </is>
      </c>
      <c r="C168" s="8" t="inlineStr">
        <is>
          <t>B</t>
        </is>
      </c>
      <c r="D168" s="8" t="inlineStr">
        <is>
          <t>atk</t>
        </is>
      </c>
      <c r="E168" s="8" t="n">
        <v>16</v>
      </c>
      <c r="F168" s="8" t="n">
        <v>14</v>
      </c>
      <c r="G168" s="8" t="n">
        <v>2</v>
      </c>
      <c r="H168" s="8" t="n">
        <v>87.5</v>
      </c>
      <c r="I168" s="8" t="inlineStr">
        <is>
          <t>Joblife_Split</t>
        </is>
      </c>
    </row>
    <row r="169">
      <c r="A169" s="12" t="inlineStr">
        <is>
          <t>MIR</t>
        </is>
      </c>
      <c r="B169" s="12" t="inlineStr">
        <is>
          <t>Abyss</t>
        </is>
      </c>
      <c r="C169" s="12" t="inlineStr">
        <is>
          <t>A</t>
        </is>
      </c>
      <c r="D169" s="12" t="inlineStr">
        <is>
          <t>atk</t>
        </is>
      </c>
      <c r="E169" s="12" t="n">
        <v>4</v>
      </c>
      <c r="F169" s="12" t="n">
        <v>3</v>
      </c>
      <c r="G169" s="12" t="n">
        <v>1</v>
      </c>
      <c r="H169" s="12" t="n">
        <v>75</v>
      </c>
      <c r="I169" s="12" t="inlineStr">
        <is>
          <t>MIR_Abyss</t>
        </is>
      </c>
    </row>
    <row r="170">
      <c r="A170" s="8" t="inlineStr">
        <is>
          <t>MIR</t>
        </is>
      </c>
      <c r="B170" s="8" t="inlineStr">
        <is>
          <t>Abyss</t>
        </is>
      </c>
      <c r="C170" s="8" t="inlineStr">
        <is>
          <t>A</t>
        </is>
      </c>
      <c r="D170" s="8" t="inlineStr">
        <is>
          <t>def</t>
        </is>
      </c>
      <c r="E170" s="8" t="n">
        <v>2</v>
      </c>
      <c r="F170" s="8" t="n">
        <v>0</v>
      </c>
      <c r="G170" s="8" t="n">
        <v>2</v>
      </c>
      <c r="H170" s="8" t="n">
        <v>0</v>
      </c>
      <c r="I170" s="8" t="inlineStr">
        <is>
          <t>MIR_Abyss</t>
        </is>
      </c>
    </row>
    <row r="171">
      <c r="A171" s="12" t="inlineStr">
        <is>
          <t>MIR</t>
        </is>
      </c>
      <c r="B171" s="12" t="inlineStr">
        <is>
          <t>Abyss</t>
        </is>
      </c>
      <c r="C171" s="12" t="inlineStr">
        <is>
          <t>B</t>
        </is>
      </c>
      <c r="D171" s="12" t="inlineStr">
        <is>
          <t>atk</t>
        </is>
      </c>
      <c r="E171" s="12" t="n">
        <v>7</v>
      </c>
      <c r="F171" s="12" t="n">
        <v>6</v>
      </c>
      <c r="G171" s="12" t="n">
        <v>1</v>
      </c>
      <c r="H171" s="12" t="n">
        <v>85.70999999999999</v>
      </c>
      <c r="I171" s="12" t="inlineStr">
        <is>
          <t>MIR_Abyss</t>
        </is>
      </c>
    </row>
    <row r="172">
      <c r="A172" s="8" t="inlineStr">
        <is>
          <t>MIR</t>
        </is>
      </c>
      <c r="B172" s="8" t="inlineStr">
        <is>
          <t>Abyss</t>
        </is>
      </c>
      <c r="C172" s="8" t="inlineStr">
        <is>
          <t>B</t>
        </is>
      </c>
      <c r="D172" s="8" t="inlineStr">
        <is>
          <t>def</t>
        </is>
      </c>
      <c r="E172" s="8" t="n">
        <v>1</v>
      </c>
      <c r="F172" s="8" t="n">
        <v>1</v>
      </c>
      <c r="G172" s="8" t="n">
        <v>0</v>
      </c>
      <c r="H172" s="8" t="n">
        <v>100</v>
      </c>
      <c r="I172" s="8" t="inlineStr">
        <is>
          <t>MIR_Abyss</t>
        </is>
      </c>
    </row>
    <row r="173">
      <c r="A173" s="12" t="inlineStr">
        <is>
          <t>MIR</t>
        </is>
      </c>
      <c r="B173" s="12" t="inlineStr">
        <is>
          <t>Bind</t>
        </is>
      </c>
      <c r="C173" s="12" t="inlineStr">
        <is>
          <t>A</t>
        </is>
      </c>
      <c r="D173" s="12" t="inlineStr">
        <is>
          <t>atk</t>
        </is>
      </c>
      <c r="E173" s="12" t="n">
        <v>14</v>
      </c>
      <c r="F173" s="12" t="n">
        <v>7</v>
      </c>
      <c r="G173" s="12" t="n">
        <v>7</v>
      </c>
      <c r="H173" s="12" t="n">
        <v>50</v>
      </c>
      <c r="I173" s="12" t="inlineStr">
        <is>
          <t>MIR_Bind</t>
        </is>
      </c>
    </row>
    <row r="174">
      <c r="A174" s="8" t="inlineStr">
        <is>
          <t>MIR</t>
        </is>
      </c>
      <c r="B174" s="8" t="inlineStr">
        <is>
          <t>Bind</t>
        </is>
      </c>
      <c r="C174" s="8" t="inlineStr">
        <is>
          <t>A</t>
        </is>
      </c>
      <c r="D174" s="8" t="inlineStr">
        <is>
          <t>def</t>
        </is>
      </c>
      <c r="E174" s="8" t="n">
        <v>9</v>
      </c>
      <c r="F174" s="8" t="n">
        <v>3</v>
      </c>
      <c r="G174" s="8" t="n">
        <v>6</v>
      </c>
      <c r="H174" s="8" t="n">
        <v>33.33</v>
      </c>
      <c r="I174" s="8" t="inlineStr">
        <is>
          <t>MIR_Bind</t>
        </is>
      </c>
    </row>
    <row r="175">
      <c r="A175" s="12" t="inlineStr">
        <is>
          <t>MIR</t>
        </is>
      </c>
      <c r="B175" s="12" t="inlineStr">
        <is>
          <t>Bind</t>
        </is>
      </c>
      <c r="C175" s="12" t="inlineStr">
        <is>
          <t>B</t>
        </is>
      </c>
      <c r="D175" s="12" t="inlineStr">
        <is>
          <t>atk</t>
        </is>
      </c>
      <c r="E175" s="12" t="n">
        <v>12</v>
      </c>
      <c r="F175" s="12" t="n">
        <v>8</v>
      </c>
      <c r="G175" s="12" t="n">
        <v>4</v>
      </c>
      <c r="H175" s="12" t="n">
        <v>66.67</v>
      </c>
      <c r="I175" s="12" t="inlineStr">
        <is>
          <t>MIR_Bind</t>
        </is>
      </c>
    </row>
    <row r="176">
      <c r="A176" s="8" t="inlineStr">
        <is>
          <t>MIR</t>
        </is>
      </c>
      <c r="B176" s="8" t="inlineStr">
        <is>
          <t>Bind</t>
        </is>
      </c>
      <c r="C176" s="8" t="inlineStr">
        <is>
          <t>B</t>
        </is>
      </c>
      <c r="D176" s="8" t="inlineStr">
        <is>
          <t>def</t>
        </is>
      </c>
      <c r="E176" s="8" t="n">
        <v>10</v>
      </c>
      <c r="F176" s="8" t="n">
        <v>3</v>
      </c>
      <c r="G176" s="8" t="n">
        <v>7</v>
      </c>
      <c r="H176" s="8" t="n">
        <v>30</v>
      </c>
      <c r="I176" s="8" t="inlineStr">
        <is>
          <t>MIR_Bind</t>
        </is>
      </c>
    </row>
    <row r="177">
      <c r="A177" s="12" t="inlineStr">
        <is>
          <t>MIR</t>
        </is>
      </c>
      <c r="B177" s="12" t="inlineStr">
        <is>
          <t>Breeze</t>
        </is>
      </c>
      <c r="C177" s="12" t="inlineStr">
        <is>
          <t>A</t>
        </is>
      </c>
      <c r="D177" s="12" t="inlineStr">
        <is>
          <t>atk</t>
        </is>
      </c>
      <c r="E177" s="12" t="n">
        <v>18</v>
      </c>
      <c r="F177" s="12" t="n">
        <v>14</v>
      </c>
      <c r="G177" s="12" t="n">
        <v>4</v>
      </c>
      <c r="H177" s="12" t="n">
        <v>77.78</v>
      </c>
      <c r="I177" s="12" t="inlineStr">
        <is>
          <t>MIR_Breeze</t>
        </is>
      </c>
    </row>
    <row r="178">
      <c r="A178" s="8" t="inlineStr">
        <is>
          <t>MIR</t>
        </is>
      </c>
      <c r="B178" s="8" t="inlineStr">
        <is>
          <t>Breeze</t>
        </is>
      </c>
      <c r="C178" s="8" t="inlineStr">
        <is>
          <t>A</t>
        </is>
      </c>
      <c r="D178" s="8" t="inlineStr">
        <is>
          <t>def</t>
        </is>
      </c>
      <c r="E178" s="8" t="n">
        <v>17</v>
      </c>
      <c r="F178" s="8" t="n">
        <v>5</v>
      </c>
      <c r="G178" s="8" t="n">
        <v>12</v>
      </c>
      <c r="H178" s="8" t="n">
        <v>29.41</v>
      </c>
      <c r="I178" s="8" t="inlineStr">
        <is>
          <t>MIR_Breeze</t>
        </is>
      </c>
    </row>
    <row r="179">
      <c r="A179" s="12" t="inlineStr">
        <is>
          <t>MIR</t>
        </is>
      </c>
      <c r="B179" s="12" t="inlineStr">
        <is>
          <t>Breeze</t>
        </is>
      </c>
      <c r="C179" s="12" t="inlineStr">
        <is>
          <t>B</t>
        </is>
      </c>
      <c r="D179" s="12" t="inlineStr">
        <is>
          <t>atk</t>
        </is>
      </c>
      <c r="E179" s="12" t="n">
        <v>9</v>
      </c>
      <c r="F179" s="12" t="n">
        <v>6</v>
      </c>
      <c r="G179" s="12" t="n">
        <v>3</v>
      </c>
      <c r="H179" s="12" t="n">
        <v>66.67</v>
      </c>
      <c r="I179" s="12" t="inlineStr">
        <is>
          <t>MIR_Breeze</t>
        </is>
      </c>
    </row>
    <row r="180">
      <c r="A180" s="8" t="inlineStr">
        <is>
          <t>MIR</t>
        </is>
      </c>
      <c r="B180" s="8" t="inlineStr">
        <is>
          <t>Breeze</t>
        </is>
      </c>
      <c r="C180" s="8" t="inlineStr">
        <is>
          <t>B</t>
        </is>
      </c>
      <c r="D180" s="8" t="inlineStr">
        <is>
          <t>def</t>
        </is>
      </c>
      <c r="E180" s="8" t="n">
        <v>5</v>
      </c>
      <c r="F180" s="8" t="n">
        <v>3</v>
      </c>
      <c r="G180" s="8" t="n">
        <v>2</v>
      </c>
      <c r="H180" s="8" t="n">
        <v>60</v>
      </c>
      <c r="I180" s="8" t="inlineStr">
        <is>
          <t>MIR_Breeze</t>
        </is>
      </c>
    </row>
    <row r="181">
      <c r="A181" s="12" t="inlineStr">
        <is>
          <t>MIR</t>
        </is>
      </c>
      <c r="B181" s="12" t="inlineStr">
        <is>
          <t>Corrode</t>
        </is>
      </c>
      <c r="C181" s="12" t="inlineStr">
        <is>
          <t>A</t>
        </is>
      </c>
      <c r="D181" s="12" t="inlineStr">
        <is>
          <t>atk</t>
        </is>
      </c>
      <c r="E181" s="12" t="n">
        <v>2</v>
      </c>
      <c r="F181" s="12" t="n">
        <v>0</v>
      </c>
      <c r="G181" s="12" t="n">
        <v>2</v>
      </c>
      <c r="H181" s="12" t="n">
        <v>0</v>
      </c>
      <c r="I181" s="12" t="inlineStr">
        <is>
          <t>MIR_Corrode</t>
        </is>
      </c>
    </row>
    <row r="182">
      <c r="A182" s="8" t="inlineStr">
        <is>
          <t>MIR</t>
        </is>
      </c>
      <c r="B182" s="8" t="inlineStr">
        <is>
          <t>Corrode</t>
        </is>
      </c>
      <c r="C182" s="8" t="inlineStr">
        <is>
          <t>A</t>
        </is>
      </c>
      <c r="D182" s="8" t="inlineStr">
        <is>
          <t>def</t>
        </is>
      </c>
      <c r="E182" s="8" t="n">
        <v>1</v>
      </c>
      <c r="F182" s="8" t="n">
        <v>1</v>
      </c>
      <c r="G182" s="8" t="n">
        <v>0</v>
      </c>
      <c r="H182" s="8" t="n">
        <v>100</v>
      </c>
      <c r="I182" s="8" t="inlineStr">
        <is>
          <t>MIR_Corrode</t>
        </is>
      </c>
    </row>
    <row r="183">
      <c r="A183" s="12" t="inlineStr">
        <is>
          <t>MIR</t>
        </is>
      </c>
      <c r="B183" s="12" t="inlineStr">
        <is>
          <t>Corrode</t>
        </is>
      </c>
      <c r="C183" s="12" t="inlineStr">
        <is>
          <t>B</t>
        </is>
      </c>
      <c r="D183" s="12" t="inlineStr">
        <is>
          <t>atk</t>
        </is>
      </c>
      <c r="E183" s="12" t="n">
        <v>4</v>
      </c>
      <c r="F183" s="12" t="n">
        <v>1</v>
      </c>
      <c r="G183" s="12" t="n">
        <v>3</v>
      </c>
      <c r="H183" s="12" t="n">
        <v>25</v>
      </c>
      <c r="I183" s="12" t="inlineStr">
        <is>
          <t>MIR_Corrode</t>
        </is>
      </c>
    </row>
    <row r="184">
      <c r="A184" s="8" t="inlineStr">
        <is>
          <t>MIR</t>
        </is>
      </c>
      <c r="B184" s="8" t="inlineStr">
        <is>
          <t>Corrode</t>
        </is>
      </c>
      <c r="C184" s="8" t="inlineStr">
        <is>
          <t>B</t>
        </is>
      </c>
      <c r="D184" s="8" t="inlineStr">
        <is>
          <t>def</t>
        </is>
      </c>
      <c r="E184" s="8" t="n">
        <v>2</v>
      </c>
      <c r="F184" s="8" t="n">
        <v>0</v>
      </c>
      <c r="G184" s="8" t="n">
        <v>2</v>
      </c>
      <c r="H184" s="8" t="n">
        <v>0</v>
      </c>
      <c r="I184" s="8" t="inlineStr">
        <is>
          <t>MIR_Corrode</t>
        </is>
      </c>
    </row>
    <row r="185">
      <c r="A185" s="12" t="inlineStr">
        <is>
          <t>MIR</t>
        </is>
      </c>
      <c r="B185" s="12" t="inlineStr">
        <is>
          <t>Haven</t>
        </is>
      </c>
      <c r="C185" s="12" t="inlineStr">
        <is>
          <t>A</t>
        </is>
      </c>
      <c r="D185" s="12" t="inlineStr">
        <is>
          <t>atk</t>
        </is>
      </c>
      <c r="E185" s="12" t="n">
        <v>6</v>
      </c>
      <c r="F185" s="12" t="n">
        <v>6</v>
      </c>
      <c r="G185" s="12" t="n">
        <v>0</v>
      </c>
      <c r="H185" s="12" t="n">
        <v>100</v>
      </c>
      <c r="I185" s="12" t="inlineStr">
        <is>
          <t>MIR_Haven</t>
        </is>
      </c>
    </row>
    <row r="186">
      <c r="A186" s="8" t="inlineStr">
        <is>
          <t>MIR</t>
        </is>
      </c>
      <c r="B186" s="8" t="inlineStr">
        <is>
          <t>Haven</t>
        </is>
      </c>
      <c r="C186" s="8" t="inlineStr">
        <is>
          <t>A</t>
        </is>
      </c>
      <c r="D186" s="8" t="inlineStr">
        <is>
          <t>def</t>
        </is>
      </c>
      <c r="E186" s="8" t="n">
        <v>6</v>
      </c>
      <c r="F186" s="8" t="n">
        <v>3</v>
      </c>
      <c r="G186" s="8" t="n">
        <v>3</v>
      </c>
      <c r="H186" s="8" t="n">
        <v>50</v>
      </c>
      <c r="I186" s="8" t="inlineStr">
        <is>
          <t>MIR_Haven</t>
        </is>
      </c>
    </row>
    <row r="187">
      <c r="A187" s="12" t="inlineStr">
        <is>
          <t>MIR</t>
        </is>
      </c>
      <c r="B187" s="12" t="inlineStr">
        <is>
          <t>Haven</t>
        </is>
      </c>
      <c r="C187" s="12" t="inlineStr">
        <is>
          <t>B</t>
        </is>
      </c>
      <c r="D187" s="12" t="inlineStr">
        <is>
          <t>atk</t>
        </is>
      </c>
      <c r="E187" s="12" t="n">
        <v>2</v>
      </c>
      <c r="F187" s="12" t="n">
        <v>2</v>
      </c>
      <c r="G187" s="12" t="n">
        <v>0</v>
      </c>
      <c r="H187" s="12" t="n">
        <v>100</v>
      </c>
      <c r="I187" s="12" t="inlineStr">
        <is>
          <t>MIR_Haven</t>
        </is>
      </c>
    </row>
    <row r="188">
      <c r="A188" s="8" t="inlineStr">
        <is>
          <t>MIR</t>
        </is>
      </c>
      <c r="B188" s="8" t="inlineStr">
        <is>
          <t>Haven</t>
        </is>
      </c>
      <c r="C188" s="8" t="inlineStr">
        <is>
          <t>B</t>
        </is>
      </c>
      <c r="D188" s="8" t="inlineStr">
        <is>
          <t>def</t>
        </is>
      </c>
      <c r="E188" s="8" t="n">
        <v>3</v>
      </c>
      <c r="F188" s="8" t="n">
        <v>0</v>
      </c>
      <c r="G188" s="8" t="n">
        <v>3</v>
      </c>
      <c r="H188" s="8" t="n">
        <v>0</v>
      </c>
      <c r="I188" s="8" t="inlineStr">
        <is>
          <t>MIR_Haven</t>
        </is>
      </c>
    </row>
    <row r="189">
      <c r="A189" s="12" t="inlineStr">
        <is>
          <t>MIR</t>
        </is>
      </c>
      <c r="B189" s="12" t="inlineStr">
        <is>
          <t>Haven</t>
        </is>
      </c>
      <c r="C189" s="12" t="inlineStr">
        <is>
          <t>C</t>
        </is>
      </c>
      <c r="D189" s="12" t="inlineStr">
        <is>
          <t>atk</t>
        </is>
      </c>
      <c r="E189" s="12" t="n">
        <v>3</v>
      </c>
      <c r="F189" s="12" t="n">
        <v>2</v>
      </c>
      <c r="G189" s="12" t="n">
        <v>1</v>
      </c>
      <c r="H189" s="12" t="n">
        <v>66.67</v>
      </c>
      <c r="I189" s="12" t="inlineStr">
        <is>
          <t>MIR_Haven</t>
        </is>
      </c>
    </row>
    <row r="190">
      <c r="A190" s="8" t="inlineStr">
        <is>
          <t>MIR</t>
        </is>
      </c>
      <c r="B190" s="8" t="inlineStr">
        <is>
          <t>Haven</t>
        </is>
      </c>
      <c r="C190" s="8" t="inlineStr">
        <is>
          <t>C</t>
        </is>
      </c>
      <c r="D190" s="8" t="inlineStr">
        <is>
          <t>def</t>
        </is>
      </c>
      <c r="E190" s="8" t="n">
        <v>1</v>
      </c>
      <c r="F190" s="8" t="n">
        <v>0</v>
      </c>
      <c r="G190" s="8" t="n">
        <v>1</v>
      </c>
      <c r="H190" s="8" t="n">
        <v>0</v>
      </c>
      <c r="I190" s="8" t="inlineStr">
        <is>
          <t>MIR_Haven</t>
        </is>
      </c>
    </row>
    <row r="191">
      <c r="A191" s="12" t="inlineStr">
        <is>
          <t>MIR</t>
        </is>
      </c>
      <c r="B191" s="12" t="inlineStr">
        <is>
          <t>Split</t>
        </is>
      </c>
      <c r="C191" s="12" t="inlineStr">
        <is>
          <t>A</t>
        </is>
      </c>
      <c r="D191" s="12" t="inlineStr">
        <is>
          <t>atk</t>
        </is>
      </c>
      <c r="E191" s="12" t="n">
        <v>6</v>
      </c>
      <c r="F191" s="12" t="n">
        <v>3</v>
      </c>
      <c r="G191" s="12" t="n">
        <v>3</v>
      </c>
      <c r="H191" s="12" t="n">
        <v>50</v>
      </c>
      <c r="I191" s="12" t="inlineStr">
        <is>
          <t>MIR_Split</t>
        </is>
      </c>
    </row>
    <row r="192">
      <c r="A192" s="8" t="inlineStr">
        <is>
          <t>MIR</t>
        </is>
      </c>
      <c r="B192" s="8" t="inlineStr">
        <is>
          <t>Split</t>
        </is>
      </c>
      <c r="C192" s="8" t="inlineStr">
        <is>
          <t>A</t>
        </is>
      </c>
      <c r="D192" s="8" t="inlineStr">
        <is>
          <t>def</t>
        </is>
      </c>
      <c r="E192" s="8" t="n">
        <v>5</v>
      </c>
      <c r="F192" s="8" t="n">
        <v>2</v>
      </c>
      <c r="G192" s="8" t="n">
        <v>3</v>
      </c>
      <c r="H192" s="8" t="n">
        <v>40</v>
      </c>
      <c r="I192" s="8" t="inlineStr">
        <is>
          <t>MIR_Split</t>
        </is>
      </c>
    </row>
    <row r="193">
      <c r="A193" s="12" t="inlineStr">
        <is>
          <t>MIR</t>
        </is>
      </c>
      <c r="B193" s="12" t="inlineStr">
        <is>
          <t>Split</t>
        </is>
      </c>
      <c r="C193" s="12" t="inlineStr">
        <is>
          <t>B</t>
        </is>
      </c>
      <c r="D193" s="12" t="inlineStr">
        <is>
          <t>atk</t>
        </is>
      </c>
      <c r="E193" s="12" t="n">
        <v>2</v>
      </c>
      <c r="F193" s="12" t="n">
        <v>1</v>
      </c>
      <c r="G193" s="12" t="n">
        <v>1</v>
      </c>
      <c r="H193" s="12" t="n">
        <v>50</v>
      </c>
      <c r="I193" s="12" t="inlineStr">
        <is>
          <t>MIR_Split</t>
        </is>
      </c>
    </row>
    <row r="194">
      <c r="A194" s="8" t="inlineStr">
        <is>
          <t>MIR</t>
        </is>
      </c>
      <c r="B194" s="8" t="inlineStr">
        <is>
          <t>Split</t>
        </is>
      </c>
      <c r="C194" s="8" t="inlineStr">
        <is>
          <t>B</t>
        </is>
      </c>
      <c r="D194" s="8" t="inlineStr">
        <is>
          <t>def</t>
        </is>
      </c>
      <c r="E194" s="8" t="n">
        <v>2</v>
      </c>
      <c r="F194" s="8" t="n">
        <v>0</v>
      </c>
      <c r="G194" s="8" t="n">
        <v>2</v>
      </c>
      <c r="H194" s="8" t="n">
        <v>0</v>
      </c>
      <c r="I194" s="8" t="inlineStr">
        <is>
          <t>MIR_Split</t>
        </is>
      </c>
    </row>
    <row r="195">
      <c r="A195" s="12" t="inlineStr">
        <is>
          <t>Mandatory</t>
        </is>
      </c>
      <c r="B195" s="12" t="inlineStr">
        <is>
          <t>Abyss</t>
        </is>
      </c>
      <c r="C195" s="12" t="inlineStr">
        <is>
          <t>A</t>
        </is>
      </c>
      <c r="D195" s="12" t="inlineStr">
        <is>
          <t>atk</t>
        </is>
      </c>
      <c r="E195" s="12" t="n">
        <v>12</v>
      </c>
      <c r="F195" s="12" t="n">
        <v>8</v>
      </c>
      <c r="G195" s="12" t="n">
        <v>4</v>
      </c>
      <c r="H195" s="12" t="n">
        <v>66.67</v>
      </c>
      <c r="I195" s="12" t="inlineStr">
        <is>
          <t>Mandatory_Abyss</t>
        </is>
      </c>
    </row>
    <row r="196">
      <c r="A196" s="8" t="inlineStr">
        <is>
          <t>Mandatory</t>
        </is>
      </c>
      <c r="B196" s="8" t="inlineStr">
        <is>
          <t>Abyss</t>
        </is>
      </c>
      <c r="C196" s="8" t="inlineStr">
        <is>
          <t>A</t>
        </is>
      </c>
      <c r="D196" s="8" t="inlineStr">
        <is>
          <t>def</t>
        </is>
      </c>
      <c r="E196" s="8" t="n">
        <v>8</v>
      </c>
      <c r="F196" s="8" t="n">
        <v>4</v>
      </c>
      <c r="G196" s="8" t="n">
        <v>4</v>
      </c>
      <c r="H196" s="8" t="n">
        <v>50</v>
      </c>
      <c r="I196" s="8" t="inlineStr">
        <is>
          <t>Mandatory_Abyss</t>
        </is>
      </c>
    </row>
    <row r="197">
      <c r="A197" s="12" t="inlineStr">
        <is>
          <t>Mandatory</t>
        </is>
      </c>
      <c r="B197" s="12" t="inlineStr">
        <is>
          <t>Abyss</t>
        </is>
      </c>
      <c r="C197" s="12" t="inlineStr">
        <is>
          <t>B</t>
        </is>
      </c>
      <c r="D197" s="12" t="inlineStr">
        <is>
          <t>atk</t>
        </is>
      </c>
      <c r="E197" s="12" t="n">
        <v>16</v>
      </c>
      <c r="F197" s="12" t="n">
        <v>14</v>
      </c>
      <c r="G197" s="12" t="n">
        <v>2</v>
      </c>
      <c r="H197" s="12" t="n">
        <v>87.5</v>
      </c>
      <c r="I197" s="12" t="inlineStr">
        <is>
          <t>Mandatory_Abyss</t>
        </is>
      </c>
    </row>
    <row r="198">
      <c r="A198" s="8" t="inlineStr">
        <is>
          <t>Mandatory</t>
        </is>
      </c>
      <c r="B198" s="8" t="inlineStr">
        <is>
          <t>Abyss</t>
        </is>
      </c>
      <c r="C198" s="8" t="inlineStr">
        <is>
          <t>B</t>
        </is>
      </c>
      <c r="D198" s="8" t="inlineStr">
        <is>
          <t>def</t>
        </is>
      </c>
      <c r="E198" s="8" t="n">
        <v>10</v>
      </c>
      <c r="F198" s="8" t="n">
        <v>2</v>
      </c>
      <c r="G198" s="8" t="n">
        <v>8</v>
      </c>
      <c r="H198" s="8" t="n">
        <v>20</v>
      </c>
      <c r="I198" s="8" t="inlineStr">
        <is>
          <t>Mandatory_Abyss</t>
        </is>
      </c>
    </row>
    <row r="199">
      <c r="A199" s="12" t="inlineStr">
        <is>
          <t>Mandatory</t>
        </is>
      </c>
      <c r="B199" s="12" t="inlineStr">
        <is>
          <t>Bind</t>
        </is>
      </c>
      <c r="C199" s="12" t="inlineStr">
        <is>
          <t>A</t>
        </is>
      </c>
      <c r="D199" s="12" t="inlineStr">
        <is>
          <t>def</t>
        </is>
      </c>
      <c r="E199" s="12" t="n">
        <v>3</v>
      </c>
      <c r="F199" s="12" t="n">
        <v>2</v>
      </c>
      <c r="G199" s="12" t="n">
        <v>1</v>
      </c>
      <c r="H199" s="12" t="n">
        <v>66.67</v>
      </c>
      <c r="I199" s="12" t="inlineStr">
        <is>
          <t>Mandatory_Bind</t>
        </is>
      </c>
    </row>
    <row r="200">
      <c r="A200" s="8" t="inlineStr">
        <is>
          <t>Mandatory</t>
        </is>
      </c>
      <c r="B200" s="8" t="inlineStr">
        <is>
          <t>Bind</t>
        </is>
      </c>
      <c r="C200" s="8" t="inlineStr">
        <is>
          <t>A</t>
        </is>
      </c>
      <c r="D200" s="8" t="inlineStr">
        <is>
          <t>atk</t>
        </is>
      </c>
      <c r="E200" s="8" t="n">
        <v>5</v>
      </c>
      <c r="F200" s="8" t="n">
        <v>2</v>
      </c>
      <c r="G200" s="8" t="n">
        <v>3</v>
      </c>
      <c r="H200" s="8" t="n">
        <v>40</v>
      </c>
      <c r="I200" s="8" t="inlineStr">
        <is>
          <t>Mandatory_Bind</t>
        </is>
      </c>
    </row>
    <row r="201">
      <c r="A201" s="12" t="inlineStr">
        <is>
          <t>Mandatory</t>
        </is>
      </c>
      <c r="B201" s="12" t="inlineStr">
        <is>
          <t>Bind</t>
        </is>
      </c>
      <c r="C201" s="12" t="inlineStr">
        <is>
          <t>B</t>
        </is>
      </c>
      <c r="D201" s="12" t="inlineStr">
        <is>
          <t>def</t>
        </is>
      </c>
      <c r="E201" s="12" t="n">
        <v>7</v>
      </c>
      <c r="F201" s="12" t="n">
        <v>0</v>
      </c>
      <c r="G201" s="12" t="n">
        <v>7</v>
      </c>
      <c r="H201" s="12" t="n">
        <v>0</v>
      </c>
      <c r="I201" s="12" t="inlineStr">
        <is>
          <t>Mandatory_Bind</t>
        </is>
      </c>
    </row>
    <row r="202">
      <c r="A202" s="8" t="inlineStr">
        <is>
          <t>Mandatory</t>
        </is>
      </c>
      <c r="B202" s="8" t="inlineStr">
        <is>
          <t>Bind</t>
        </is>
      </c>
      <c r="C202" s="8" t="inlineStr">
        <is>
          <t>B</t>
        </is>
      </c>
      <c r="D202" s="8" t="inlineStr">
        <is>
          <t>atk</t>
        </is>
      </c>
      <c r="E202" s="8" t="n">
        <v>5</v>
      </c>
      <c r="F202" s="8" t="n">
        <v>5</v>
      </c>
      <c r="G202" s="8" t="n">
        <v>0</v>
      </c>
      <c r="H202" s="8" t="n">
        <v>100</v>
      </c>
      <c r="I202" s="8" t="inlineStr">
        <is>
          <t>Mandatory_Bind</t>
        </is>
      </c>
    </row>
    <row r="203">
      <c r="A203" s="12" t="inlineStr">
        <is>
          <t>Mandatory</t>
        </is>
      </c>
      <c r="B203" s="12" t="inlineStr">
        <is>
          <t>Breeze</t>
        </is>
      </c>
      <c r="C203" s="12" t="inlineStr">
        <is>
          <t>A</t>
        </is>
      </c>
      <c r="D203" s="12" t="inlineStr">
        <is>
          <t>atk</t>
        </is>
      </c>
      <c r="E203" s="12" t="n">
        <v>21</v>
      </c>
      <c r="F203" s="12" t="n">
        <v>16</v>
      </c>
      <c r="G203" s="12" t="n">
        <v>5</v>
      </c>
      <c r="H203" s="12" t="n">
        <v>76.19</v>
      </c>
      <c r="I203" s="12" t="inlineStr">
        <is>
          <t>Mandatory_Breeze</t>
        </is>
      </c>
    </row>
    <row r="204">
      <c r="A204" s="8" t="inlineStr">
        <is>
          <t>Mandatory</t>
        </is>
      </c>
      <c r="B204" s="8" t="inlineStr">
        <is>
          <t>Breeze</t>
        </is>
      </c>
      <c r="C204" s="8" t="inlineStr">
        <is>
          <t>A</t>
        </is>
      </c>
      <c r="D204" s="8" t="inlineStr">
        <is>
          <t>def</t>
        </is>
      </c>
      <c r="E204" s="8" t="n">
        <v>16</v>
      </c>
      <c r="F204" s="8" t="n">
        <v>7</v>
      </c>
      <c r="G204" s="8" t="n">
        <v>9</v>
      </c>
      <c r="H204" s="8" t="n">
        <v>43.75</v>
      </c>
      <c r="I204" s="8" t="inlineStr">
        <is>
          <t>Mandatory_Breeze</t>
        </is>
      </c>
    </row>
    <row r="205">
      <c r="A205" s="12" t="inlineStr">
        <is>
          <t>Mandatory</t>
        </is>
      </c>
      <c r="B205" s="12" t="inlineStr">
        <is>
          <t>Breeze</t>
        </is>
      </c>
      <c r="C205" s="12" t="inlineStr">
        <is>
          <t>B</t>
        </is>
      </c>
      <c r="D205" s="12" t="inlineStr">
        <is>
          <t>atk</t>
        </is>
      </c>
      <c r="E205" s="12" t="n">
        <v>11</v>
      </c>
      <c r="F205" s="12" t="n">
        <v>8</v>
      </c>
      <c r="G205" s="12" t="n">
        <v>3</v>
      </c>
      <c r="H205" s="12" t="n">
        <v>72.73</v>
      </c>
      <c r="I205" s="12" t="inlineStr">
        <is>
          <t>Mandatory_Breeze</t>
        </is>
      </c>
    </row>
    <row r="206">
      <c r="A206" s="8" t="inlineStr">
        <is>
          <t>Mandatory</t>
        </is>
      </c>
      <c r="B206" s="8" t="inlineStr">
        <is>
          <t>Breeze</t>
        </is>
      </c>
      <c r="C206" s="8" t="inlineStr">
        <is>
          <t>B</t>
        </is>
      </c>
      <c r="D206" s="8" t="inlineStr">
        <is>
          <t>def</t>
        </is>
      </c>
      <c r="E206" s="8" t="n">
        <v>9</v>
      </c>
      <c r="F206" s="8" t="n">
        <v>3</v>
      </c>
      <c r="G206" s="8" t="n">
        <v>6</v>
      </c>
      <c r="H206" s="8" t="n">
        <v>33.33</v>
      </c>
      <c r="I206" s="8" t="inlineStr">
        <is>
          <t>Mandatory_Breeze</t>
        </is>
      </c>
    </row>
    <row r="207">
      <c r="A207" s="12" t="inlineStr">
        <is>
          <t>Mandatory</t>
        </is>
      </c>
      <c r="B207" s="12" t="inlineStr">
        <is>
          <t>Corrode</t>
        </is>
      </c>
      <c r="C207" s="12" t="inlineStr">
        <is>
          <t>A</t>
        </is>
      </c>
      <c r="D207" s="12" t="inlineStr">
        <is>
          <t>atk</t>
        </is>
      </c>
      <c r="E207" s="12" t="n">
        <v>26</v>
      </c>
      <c r="F207" s="12" t="n">
        <v>21</v>
      </c>
      <c r="G207" s="12" t="n">
        <v>5</v>
      </c>
      <c r="H207" s="12" t="n">
        <v>80.77</v>
      </c>
      <c r="I207" s="12" t="inlineStr">
        <is>
          <t>Mandatory_Corrode</t>
        </is>
      </c>
    </row>
    <row r="208">
      <c r="A208" s="8" t="inlineStr">
        <is>
          <t>Mandatory</t>
        </is>
      </c>
      <c r="B208" s="8" t="inlineStr">
        <is>
          <t>Corrode</t>
        </is>
      </c>
      <c r="C208" s="8" t="inlineStr">
        <is>
          <t>A</t>
        </is>
      </c>
      <c r="D208" s="8" t="inlineStr">
        <is>
          <t>def</t>
        </is>
      </c>
      <c r="E208" s="8" t="n">
        <v>18</v>
      </c>
      <c r="F208" s="8" t="n">
        <v>4</v>
      </c>
      <c r="G208" s="8" t="n">
        <v>14</v>
      </c>
      <c r="H208" s="8" t="n">
        <v>22.22</v>
      </c>
      <c r="I208" s="8" t="inlineStr">
        <is>
          <t>Mandatory_Corrode</t>
        </is>
      </c>
    </row>
    <row r="209">
      <c r="A209" s="12" t="inlineStr">
        <is>
          <t>Mandatory</t>
        </is>
      </c>
      <c r="B209" s="12" t="inlineStr">
        <is>
          <t>Corrode</t>
        </is>
      </c>
      <c r="C209" s="12" t="inlineStr">
        <is>
          <t>B</t>
        </is>
      </c>
      <c r="D209" s="12" t="inlineStr">
        <is>
          <t>atk</t>
        </is>
      </c>
      <c r="E209" s="12" t="n">
        <v>33</v>
      </c>
      <c r="F209" s="12" t="n">
        <v>21</v>
      </c>
      <c r="G209" s="12" t="n">
        <v>12</v>
      </c>
      <c r="H209" s="12" t="n">
        <v>63.64</v>
      </c>
      <c r="I209" s="12" t="inlineStr">
        <is>
          <t>Mandatory_Corrode</t>
        </is>
      </c>
    </row>
    <row r="210">
      <c r="A210" s="8" t="inlineStr">
        <is>
          <t>Mandatory</t>
        </is>
      </c>
      <c r="B210" s="8" t="inlineStr">
        <is>
          <t>Corrode</t>
        </is>
      </c>
      <c r="C210" s="8" t="inlineStr">
        <is>
          <t>B</t>
        </is>
      </c>
      <c r="D210" s="8" t="inlineStr">
        <is>
          <t>def</t>
        </is>
      </c>
      <c r="E210" s="8" t="n">
        <v>19</v>
      </c>
      <c r="F210" s="8" t="n">
        <v>4</v>
      </c>
      <c r="G210" s="8" t="n">
        <v>15</v>
      </c>
      <c r="H210" s="8" t="n">
        <v>21.05</v>
      </c>
      <c r="I210" s="8" t="inlineStr">
        <is>
          <t>Mandatory_Corrode</t>
        </is>
      </c>
    </row>
    <row r="211">
      <c r="A211" s="12" t="inlineStr">
        <is>
          <t>Mandatory</t>
        </is>
      </c>
      <c r="B211" s="12" t="inlineStr">
        <is>
          <t>Haven</t>
        </is>
      </c>
      <c r="C211" s="12" t="inlineStr">
        <is>
          <t>A</t>
        </is>
      </c>
      <c r="D211" s="12" t="inlineStr">
        <is>
          <t>atk</t>
        </is>
      </c>
      <c r="E211" s="12" t="n">
        <v>24</v>
      </c>
      <c r="F211" s="12" t="n">
        <v>21</v>
      </c>
      <c r="G211" s="12" t="n">
        <v>3</v>
      </c>
      <c r="H211" s="12" t="n">
        <v>87.5</v>
      </c>
      <c r="I211" s="12" t="inlineStr">
        <is>
          <t>Mandatory_Haven</t>
        </is>
      </c>
    </row>
    <row r="212">
      <c r="A212" s="8" t="inlineStr">
        <is>
          <t>Mandatory</t>
        </is>
      </c>
      <c r="B212" s="8" t="inlineStr">
        <is>
          <t>Haven</t>
        </is>
      </c>
      <c r="C212" s="8" t="inlineStr">
        <is>
          <t>A</t>
        </is>
      </c>
      <c r="D212" s="8" t="inlineStr">
        <is>
          <t>def</t>
        </is>
      </c>
      <c r="E212" s="8" t="n">
        <v>16</v>
      </c>
      <c r="F212" s="8" t="n">
        <v>6</v>
      </c>
      <c r="G212" s="8" t="n">
        <v>10</v>
      </c>
      <c r="H212" s="8" t="n">
        <v>37.5</v>
      </c>
      <c r="I212" s="8" t="inlineStr">
        <is>
          <t>Mandatory_Haven</t>
        </is>
      </c>
    </row>
    <row r="213">
      <c r="A213" s="12" t="inlineStr">
        <is>
          <t>Mandatory</t>
        </is>
      </c>
      <c r="B213" s="12" t="inlineStr">
        <is>
          <t>Haven</t>
        </is>
      </c>
      <c r="C213" s="12" t="inlineStr">
        <is>
          <t>B</t>
        </is>
      </c>
      <c r="D213" s="12" t="inlineStr">
        <is>
          <t>atk</t>
        </is>
      </c>
      <c r="E213" s="12" t="n">
        <v>20</v>
      </c>
      <c r="F213" s="12" t="n">
        <v>14</v>
      </c>
      <c r="G213" s="12" t="n">
        <v>6</v>
      </c>
      <c r="H213" s="12" t="n">
        <v>70</v>
      </c>
      <c r="I213" s="12" t="inlineStr">
        <is>
          <t>Mandatory_Haven</t>
        </is>
      </c>
    </row>
    <row r="214">
      <c r="A214" s="8" t="inlineStr">
        <is>
          <t>Mandatory</t>
        </is>
      </c>
      <c r="B214" s="8" t="inlineStr">
        <is>
          <t>Haven</t>
        </is>
      </c>
      <c r="C214" s="8" t="inlineStr">
        <is>
          <t>B</t>
        </is>
      </c>
      <c r="D214" s="8" t="inlineStr">
        <is>
          <t>def</t>
        </is>
      </c>
      <c r="E214" s="8" t="n">
        <v>8</v>
      </c>
      <c r="F214" s="8" t="n">
        <v>6</v>
      </c>
      <c r="G214" s="8" t="n">
        <v>2</v>
      </c>
      <c r="H214" s="8" t="n">
        <v>75</v>
      </c>
      <c r="I214" s="8" t="inlineStr">
        <is>
          <t>Mandatory_Haven</t>
        </is>
      </c>
    </row>
    <row r="215">
      <c r="A215" s="12" t="inlineStr">
        <is>
          <t>Mandatory</t>
        </is>
      </c>
      <c r="B215" s="12" t="inlineStr">
        <is>
          <t>Haven</t>
        </is>
      </c>
      <c r="C215" s="12" t="inlineStr">
        <is>
          <t>C</t>
        </is>
      </c>
      <c r="D215" s="12" t="inlineStr">
        <is>
          <t>atk</t>
        </is>
      </c>
      <c r="E215" s="12" t="n">
        <v>29</v>
      </c>
      <c r="F215" s="12" t="n">
        <v>22</v>
      </c>
      <c r="G215" s="12" t="n">
        <v>7</v>
      </c>
      <c r="H215" s="12" t="n">
        <v>75.86</v>
      </c>
      <c r="I215" s="12" t="inlineStr">
        <is>
          <t>Mandatory_Haven</t>
        </is>
      </c>
    </row>
    <row r="216">
      <c r="A216" s="8" t="inlineStr">
        <is>
          <t>Mandatory</t>
        </is>
      </c>
      <c r="B216" s="8" t="inlineStr">
        <is>
          <t>Haven</t>
        </is>
      </c>
      <c r="C216" s="8" t="inlineStr">
        <is>
          <t>C</t>
        </is>
      </c>
      <c r="D216" s="8" t="inlineStr">
        <is>
          <t>def</t>
        </is>
      </c>
      <c r="E216" s="8" t="n">
        <v>14</v>
      </c>
      <c r="F216" s="8" t="n">
        <v>6</v>
      </c>
      <c r="G216" s="8" t="n">
        <v>8</v>
      </c>
      <c r="H216" s="8" t="n">
        <v>42.86</v>
      </c>
      <c r="I216" s="8" t="inlineStr">
        <is>
          <t>Mandatory_Haven</t>
        </is>
      </c>
    </row>
    <row r="217">
      <c r="A217" s="12" t="inlineStr">
        <is>
          <t>Mandatory</t>
        </is>
      </c>
      <c r="B217" s="12" t="inlineStr">
        <is>
          <t>Pearl</t>
        </is>
      </c>
      <c r="C217" s="12" t="inlineStr">
        <is>
          <t>A</t>
        </is>
      </c>
      <c r="D217" s="12" t="inlineStr">
        <is>
          <t>atk</t>
        </is>
      </c>
      <c r="E217" s="12" t="n">
        <v>11</v>
      </c>
      <c r="F217" s="12" t="n">
        <v>8</v>
      </c>
      <c r="G217" s="12" t="n">
        <v>3</v>
      </c>
      <c r="H217" s="12" t="n">
        <v>72.73</v>
      </c>
      <c r="I217" s="12" t="inlineStr">
        <is>
          <t>Mandatory_Pearl</t>
        </is>
      </c>
    </row>
    <row r="218">
      <c r="A218" s="8" t="inlineStr">
        <is>
          <t>Mandatory</t>
        </is>
      </c>
      <c r="B218" s="8" t="inlineStr">
        <is>
          <t>Pearl</t>
        </is>
      </c>
      <c r="C218" s="8" t="inlineStr">
        <is>
          <t>A</t>
        </is>
      </c>
      <c r="D218" s="8" t="inlineStr">
        <is>
          <t>def</t>
        </is>
      </c>
      <c r="E218" s="8" t="n">
        <v>11</v>
      </c>
      <c r="F218" s="8" t="n">
        <v>2</v>
      </c>
      <c r="G218" s="8" t="n">
        <v>9</v>
      </c>
      <c r="H218" s="8" t="n">
        <v>18.18</v>
      </c>
      <c r="I218" s="8" t="inlineStr">
        <is>
          <t>Mandatory_Pearl</t>
        </is>
      </c>
    </row>
    <row r="219">
      <c r="A219" s="12" t="inlineStr">
        <is>
          <t>Mandatory</t>
        </is>
      </c>
      <c r="B219" s="12" t="inlineStr">
        <is>
          <t>Pearl</t>
        </is>
      </c>
      <c r="C219" s="12" t="inlineStr">
        <is>
          <t>B</t>
        </is>
      </c>
      <c r="D219" s="12" t="inlineStr">
        <is>
          <t>atk</t>
        </is>
      </c>
      <c r="E219" s="12" t="n">
        <v>14</v>
      </c>
      <c r="F219" s="12" t="n">
        <v>10</v>
      </c>
      <c r="G219" s="12" t="n">
        <v>4</v>
      </c>
      <c r="H219" s="12" t="n">
        <v>71.43000000000001</v>
      </c>
      <c r="I219" s="12" t="inlineStr">
        <is>
          <t>Mandatory_Pearl</t>
        </is>
      </c>
    </row>
    <row r="220">
      <c r="A220" s="8" t="inlineStr">
        <is>
          <t>Mandatory</t>
        </is>
      </c>
      <c r="B220" s="8" t="inlineStr">
        <is>
          <t>Pearl</t>
        </is>
      </c>
      <c r="C220" s="8" t="inlineStr">
        <is>
          <t>B</t>
        </is>
      </c>
      <c r="D220" s="8" t="inlineStr">
        <is>
          <t>def</t>
        </is>
      </c>
      <c r="E220" s="8" t="n">
        <v>8</v>
      </c>
      <c r="F220" s="8" t="n">
        <v>1</v>
      </c>
      <c r="G220" s="8" t="n">
        <v>7</v>
      </c>
      <c r="H220" s="8" t="n">
        <v>12.5</v>
      </c>
      <c r="I220" s="8" t="inlineStr">
        <is>
          <t>Mandatory_Pearl</t>
        </is>
      </c>
    </row>
    <row r="221">
      <c r="A221" s="12" t="inlineStr">
        <is>
          <t>Mandatory</t>
        </is>
      </c>
      <c r="B221" s="12" t="inlineStr">
        <is>
          <t>Split</t>
        </is>
      </c>
      <c r="C221" s="12" t="inlineStr">
        <is>
          <t>A</t>
        </is>
      </c>
      <c r="D221" s="12" t="inlineStr">
        <is>
          <t>def</t>
        </is>
      </c>
      <c r="E221" s="12" t="n">
        <v>14</v>
      </c>
      <c r="F221" s="12" t="n">
        <v>2</v>
      </c>
      <c r="G221" s="12" t="n">
        <v>12</v>
      </c>
      <c r="H221" s="12" t="n">
        <v>14.29</v>
      </c>
      <c r="I221" s="12" t="inlineStr">
        <is>
          <t>Mandatory_Split</t>
        </is>
      </c>
    </row>
    <row r="222">
      <c r="A222" s="8" t="inlineStr">
        <is>
          <t>Mandatory</t>
        </is>
      </c>
      <c r="B222" s="8" t="inlineStr">
        <is>
          <t>Split</t>
        </is>
      </c>
      <c r="C222" s="8" t="inlineStr">
        <is>
          <t>A</t>
        </is>
      </c>
      <c r="D222" s="8" t="inlineStr">
        <is>
          <t>atk</t>
        </is>
      </c>
      <c r="E222" s="8" t="n">
        <v>12</v>
      </c>
      <c r="F222" s="8" t="n">
        <v>8</v>
      </c>
      <c r="G222" s="8" t="n">
        <v>4</v>
      </c>
      <c r="H222" s="8" t="n">
        <v>66.67</v>
      </c>
      <c r="I222" s="8" t="inlineStr">
        <is>
          <t>Mandatory_Split</t>
        </is>
      </c>
    </row>
    <row r="223">
      <c r="A223" s="12" t="inlineStr">
        <is>
          <t>Mandatory</t>
        </is>
      </c>
      <c r="B223" s="12" t="inlineStr">
        <is>
          <t>Split</t>
        </is>
      </c>
      <c r="C223" s="12" t="inlineStr">
        <is>
          <t>B</t>
        </is>
      </c>
      <c r="D223" s="12" t="inlineStr">
        <is>
          <t>def</t>
        </is>
      </c>
      <c r="E223" s="12" t="n">
        <v>9</v>
      </c>
      <c r="F223" s="12" t="n">
        <v>2</v>
      </c>
      <c r="G223" s="12" t="n">
        <v>7</v>
      </c>
      <c r="H223" s="12" t="n">
        <v>22.22</v>
      </c>
      <c r="I223" s="12" t="inlineStr">
        <is>
          <t>Mandatory_Split</t>
        </is>
      </c>
    </row>
    <row r="224">
      <c r="A224" s="8" t="inlineStr">
        <is>
          <t>Mandatory</t>
        </is>
      </c>
      <c r="B224" s="8" t="inlineStr">
        <is>
          <t>Split</t>
        </is>
      </c>
      <c r="C224" s="8" t="inlineStr">
        <is>
          <t>B</t>
        </is>
      </c>
      <c r="D224" s="8" t="inlineStr">
        <is>
          <t>atk</t>
        </is>
      </c>
      <c r="E224" s="8" t="n">
        <v>17</v>
      </c>
      <c r="F224" s="8" t="n">
        <v>12</v>
      </c>
      <c r="G224" s="8" t="n">
        <v>5</v>
      </c>
      <c r="H224" s="8" t="n">
        <v>70.59</v>
      </c>
      <c r="I224" s="8" t="inlineStr">
        <is>
          <t>Mandatory_Split</t>
        </is>
      </c>
    </row>
    <row r="225">
      <c r="A225" s="12" t="inlineStr">
        <is>
          <t>Misa Esports</t>
        </is>
      </c>
      <c r="B225" s="12" t="inlineStr">
        <is>
          <t>Abyss</t>
        </is>
      </c>
      <c r="C225" s="12" t="inlineStr">
        <is>
          <t>A</t>
        </is>
      </c>
      <c r="D225" s="12" t="inlineStr">
        <is>
          <t>def</t>
        </is>
      </c>
      <c r="E225" s="12" t="n">
        <v>14</v>
      </c>
      <c r="F225" s="12" t="n">
        <v>8</v>
      </c>
      <c r="G225" s="12" t="n">
        <v>6</v>
      </c>
      <c r="H225" s="12" t="n">
        <v>57.14</v>
      </c>
      <c r="I225" s="12" t="inlineStr">
        <is>
          <t>Misa Esports_Abyss</t>
        </is>
      </c>
    </row>
    <row r="226">
      <c r="A226" s="8" t="inlineStr">
        <is>
          <t>Misa Esports</t>
        </is>
      </c>
      <c r="B226" s="8" t="inlineStr">
        <is>
          <t>Abyss</t>
        </is>
      </c>
      <c r="C226" s="8" t="inlineStr">
        <is>
          <t>A</t>
        </is>
      </c>
      <c r="D226" s="8" t="inlineStr">
        <is>
          <t>atk</t>
        </is>
      </c>
      <c r="E226" s="8" t="n">
        <v>7</v>
      </c>
      <c r="F226" s="8" t="n">
        <v>6</v>
      </c>
      <c r="G226" s="8" t="n">
        <v>1</v>
      </c>
      <c r="H226" s="8" t="n">
        <v>85.70999999999999</v>
      </c>
      <c r="I226" s="8" t="inlineStr">
        <is>
          <t>Misa Esports_Abyss</t>
        </is>
      </c>
    </row>
    <row r="227">
      <c r="A227" s="12" t="inlineStr">
        <is>
          <t>Misa Esports</t>
        </is>
      </c>
      <c r="B227" s="12" t="inlineStr">
        <is>
          <t>Abyss</t>
        </is>
      </c>
      <c r="C227" s="12" t="inlineStr">
        <is>
          <t>B</t>
        </is>
      </c>
      <c r="D227" s="12" t="inlineStr">
        <is>
          <t>def</t>
        </is>
      </c>
      <c r="E227" s="12" t="n">
        <v>14</v>
      </c>
      <c r="F227" s="12" t="n">
        <v>5</v>
      </c>
      <c r="G227" s="12" t="n">
        <v>9</v>
      </c>
      <c r="H227" s="12" t="n">
        <v>35.71</v>
      </c>
      <c r="I227" s="12" t="inlineStr">
        <is>
          <t>Misa Esports_Abyss</t>
        </is>
      </c>
    </row>
    <row r="228">
      <c r="A228" s="8" t="inlineStr">
        <is>
          <t>Misa Esports</t>
        </is>
      </c>
      <c r="B228" s="8" t="inlineStr">
        <is>
          <t>Abyss</t>
        </is>
      </c>
      <c r="C228" s="8" t="inlineStr">
        <is>
          <t>B</t>
        </is>
      </c>
      <c r="D228" s="8" t="inlineStr">
        <is>
          <t>atk</t>
        </is>
      </c>
      <c r="E228" s="8" t="n">
        <v>13</v>
      </c>
      <c r="F228" s="8" t="n">
        <v>12</v>
      </c>
      <c r="G228" s="8" t="n">
        <v>1</v>
      </c>
      <c r="H228" s="8" t="n">
        <v>92.31</v>
      </c>
      <c r="I228" s="8" t="inlineStr">
        <is>
          <t>Misa Esports_Abyss</t>
        </is>
      </c>
    </row>
    <row r="229">
      <c r="A229" s="12" t="inlineStr">
        <is>
          <t>Misa Esports</t>
        </is>
      </c>
      <c r="B229" s="12" t="inlineStr">
        <is>
          <t>Bind</t>
        </is>
      </c>
      <c r="C229" s="12" t="inlineStr">
        <is>
          <t>A</t>
        </is>
      </c>
      <c r="D229" s="12" t="inlineStr">
        <is>
          <t>def</t>
        </is>
      </c>
      <c r="E229" s="12" t="n">
        <v>6</v>
      </c>
      <c r="F229" s="12" t="n">
        <v>2</v>
      </c>
      <c r="G229" s="12" t="n">
        <v>4</v>
      </c>
      <c r="H229" s="12" t="n">
        <v>33.33</v>
      </c>
      <c r="I229" s="12" t="inlineStr">
        <is>
          <t>Misa Esports_Bind</t>
        </is>
      </c>
    </row>
    <row r="230">
      <c r="A230" s="8" t="inlineStr">
        <is>
          <t>Misa Esports</t>
        </is>
      </c>
      <c r="B230" s="8" t="inlineStr">
        <is>
          <t>Bind</t>
        </is>
      </c>
      <c r="C230" s="8" t="inlineStr">
        <is>
          <t>A</t>
        </is>
      </c>
      <c r="D230" s="8" t="inlineStr">
        <is>
          <t>atk</t>
        </is>
      </c>
      <c r="E230" s="8" t="n">
        <v>3</v>
      </c>
      <c r="F230" s="8" t="n">
        <v>2</v>
      </c>
      <c r="G230" s="8" t="n">
        <v>1</v>
      </c>
      <c r="H230" s="8" t="n">
        <v>66.67</v>
      </c>
      <c r="I230" s="8" t="inlineStr">
        <is>
          <t>Misa Esports_Bind</t>
        </is>
      </c>
    </row>
    <row r="231">
      <c r="A231" s="12" t="inlineStr">
        <is>
          <t>Misa Esports</t>
        </is>
      </c>
      <c r="B231" s="12" t="inlineStr">
        <is>
          <t>Bind</t>
        </is>
      </c>
      <c r="C231" s="12" t="inlineStr">
        <is>
          <t>B</t>
        </is>
      </c>
      <c r="D231" s="12" t="inlineStr">
        <is>
          <t>atk</t>
        </is>
      </c>
      <c r="E231" s="12" t="n">
        <v>2</v>
      </c>
      <c r="F231" s="12" t="n">
        <v>2</v>
      </c>
      <c r="G231" s="12" t="n">
        <v>0</v>
      </c>
      <c r="H231" s="12" t="n">
        <v>100</v>
      </c>
      <c r="I231" s="12" t="inlineStr">
        <is>
          <t>Misa Esports_Bind</t>
        </is>
      </c>
    </row>
    <row r="232">
      <c r="A232" s="8" t="inlineStr">
        <is>
          <t>Misa Esports</t>
        </is>
      </c>
      <c r="B232" s="8" t="inlineStr">
        <is>
          <t>Breeze</t>
        </is>
      </c>
      <c r="C232" s="8" t="inlineStr">
        <is>
          <t>A</t>
        </is>
      </c>
      <c r="D232" s="8" t="inlineStr">
        <is>
          <t>def</t>
        </is>
      </c>
      <c r="E232" s="8" t="n">
        <v>13</v>
      </c>
      <c r="F232" s="8" t="n">
        <v>5</v>
      </c>
      <c r="G232" s="8" t="n">
        <v>8</v>
      </c>
      <c r="H232" s="8" t="n">
        <v>38.46</v>
      </c>
      <c r="I232" s="8" t="inlineStr">
        <is>
          <t>Misa Esports_Breeze</t>
        </is>
      </c>
    </row>
    <row r="233">
      <c r="A233" s="12" t="inlineStr">
        <is>
          <t>Misa Esports</t>
        </is>
      </c>
      <c r="B233" s="12" t="inlineStr">
        <is>
          <t>Breeze</t>
        </is>
      </c>
      <c r="C233" s="12" t="inlineStr">
        <is>
          <t>A</t>
        </is>
      </c>
      <c r="D233" s="12" t="inlineStr">
        <is>
          <t>atk</t>
        </is>
      </c>
      <c r="E233" s="12" t="n">
        <v>9</v>
      </c>
      <c r="F233" s="12" t="n">
        <v>7</v>
      </c>
      <c r="G233" s="12" t="n">
        <v>2</v>
      </c>
      <c r="H233" s="12" t="n">
        <v>77.78</v>
      </c>
      <c r="I233" s="12" t="inlineStr">
        <is>
          <t>Misa Esports_Breeze</t>
        </is>
      </c>
    </row>
    <row r="234">
      <c r="A234" s="8" t="inlineStr">
        <is>
          <t>Misa Esports</t>
        </is>
      </c>
      <c r="B234" s="8" t="inlineStr">
        <is>
          <t>Breeze</t>
        </is>
      </c>
      <c r="C234" s="8" t="inlineStr">
        <is>
          <t>B</t>
        </is>
      </c>
      <c r="D234" s="8" t="inlineStr">
        <is>
          <t>def</t>
        </is>
      </c>
      <c r="E234" s="8" t="n">
        <v>3</v>
      </c>
      <c r="F234" s="8" t="n">
        <v>3</v>
      </c>
      <c r="G234" s="8" t="n">
        <v>0</v>
      </c>
      <c r="H234" s="8" t="n">
        <v>100</v>
      </c>
      <c r="I234" s="8" t="inlineStr">
        <is>
          <t>Misa Esports_Breeze</t>
        </is>
      </c>
    </row>
    <row r="235">
      <c r="A235" s="12" t="inlineStr">
        <is>
          <t>Misa Esports</t>
        </is>
      </c>
      <c r="B235" s="12" t="inlineStr">
        <is>
          <t>Breeze</t>
        </is>
      </c>
      <c r="C235" s="12" t="inlineStr">
        <is>
          <t>B</t>
        </is>
      </c>
      <c r="D235" s="12" t="inlineStr">
        <is>
          <t>atk</t>
        </is>
      </c>
      <c r="E235" s="12" t="n">
        <v>6</v>
      </c>
      <c r="F235" s="12" t="n">
        <v>4</v>
      </c>
      <c r="G235" s="12" t="n">
        <v>2</v>
      </c>
      <c r="H235" s="12" t="n">
        <v>66.67</v>
      </c>
      <c r="I235" s="12" t="inlineStr">
        <is>
          <t>Misa Esports_Breeze</t>
        </is>
      </c>
    </row>
    <row r="236">
      <c r="A236" s="8" t="inlineStr">
        <is>
          <t>Misa Esports</t>
        </is>
      </c>
      <c r="B236" s="8" t="inlineStr">
        <is>
          <t>Corrode</t>
        </is>
      </c>
      <c r="C236" s="8" t="inlineStr">
        <is>
          <t>A</t>
        </is>
      </c>
      <c r="D236" s="8" t="inlineStr">
        <is>
          <t>def</t>
        </is>
      </c>
      <c r="E236" s="8" t="n">
        <v>13</v>
      </c>
      <c r="F236" s="8" t="n">
        <v>7</v>
      </c>
      <c r="G236" s="8" t="n">
        <v>6</v>
      </c>
      <c r="H236" s="8" t="n">
        <v>53.85</v>
      </c>
      <c r="I236" s="8" t="inlineStr">
        <is>
          <t>Misa Esports_Corrode</t>
        </is>
      </c>
    </row>
    <row r="237">
      <c r="A237" s="12" t="inlineStr">
        <is>
          <t>Misa Esports</t>
        </is>
      </c>
      <c r="B237" s="12" t="inlineStr">
        <is>
          <t>Corrode</t>
        </is>
      </c>
      <c r="C237" s="12" t="inlineStr">
        <is>
          <t>A</t>
        </is>
      </c>
      <c r="D237" s="12" t="inlineStr">
        <is>
          <t>atk</t>
        </is>
      </c>
      <c r="E237" s="12" t="n">
        <v>12</v>
      </c>
      <c r="F237" s="12" t="n">
        <v>7</v>
      </c>
      <c r="G237" s="12" t="n">
        <v>5</v>
      </c>
      <c r="H237" s="12" t="n">
        <v>58.33</v>
      </c>
      <c r="I237" s="12" t="inlineStr">
        <is>
          <t>Misa Esports_Corrode</t>
        </is>
      </c>
    </row>
    <row r="238">
      <c r="A238" s="8" t="inlineStr">
        <is>
          <t>Misa Esports</t>
        </is>
      </c>
      <c r="B238" s="8" t="inlineStr">
        <is>
          <t>Corrode</t>
        </is>
      </c>
      <c r="C238" s="8" t="inlineStr">
        <is>
          <t>B</t>
        </is>
      </c>
      <c r="D238" s="8" t="inlineStr">
        <is>
          <t>def</t>
        </is>
      </c>
      <c r="E238" s="8" t="n">
        <v>14</v>
      </c>
      <c r="F238" s="8" t="n">
        <v>4</v>
      </c>
      <c r="G238" s="8" t="n">
        <v>10</v>
      </c>
      <c r="H238" s="8" t="n">
        <v>28.57</v>
      </c>
      <c r="I238" s="8" t="inlineStr">
        <is>
          <t>Misa Esports_Corrode</t>
        </is>
      </c>
    </row>
    <row r="239">
      <c r="A239" s="12" t="inlineStr">
        <is>
          <t>Misa Esports</t>
        </is>
      </c>
      <c r="B239" s="12" t="inlineStr">
        <is>
          <t>Corrode</t>
        </is>
      </c>
      <c r="C239" s="12" t="inlineStr">
        <is>
          <t>B</t>
        </is>
      </c>
      <c r="D239" s="12" t="inlineStr">
        <is>
          <t>atk</t>
        </is>
      </c>
      <c r="E239" s="12" t="n">
        <v>14</v>
      </c>
      <c r="F239" s="12" t="n">
        <v>9</v>
      </c>
      <c r="G239" s="12" t="n">
        <v>5</v>
      </c>
      <c r="H239" s="12" t="n">
        <v>64.29000000000001</v>
      </c>
      <c r="I239" s="12" t="inlineStr">
        <is>
          <t>Misa Esports_Corrode</t>
        </is>
      </c>
    </row>
    <row r="240">
      <c r="A240" s="8" t="inlineStr">
        <is>
          <t>Misa Esports</t>
        </is>
      </c>
      <c r="B240" s="8" t="inlineStr">
        <is>
          <t>Haven</t>
        </is>
      </c>
      <c r="C240" s="8" t="inlineStr">
        <is>
          <t>A</t>
        </is>
      </c>
      <c r="D240" s="8" t="inlineStr">
        <is>
          <t>atk</t>
        </is>
      </c>
      <c r="E240" s="8" t="n">
        <v>20</v>
      </c>
      <c r="F240" s="8" t="n">
        <v>17</v>
      </c>
      <c r="G240" s="8" t="n">
        <v>3</v>
      </c>
      <c r="H240" s="8" t="n">
        <v>85</v>
      </c>
      <c r="I240" s="8" t="inlineStr">
        <is>
          <t>Misa Esports_Haven</t>
        </is>
      </c>
    </row>
    <row r="241">
      <c r="A241" s="12" t="inlineStr">
        <is>
          <t>Misa Esports</t>
        </is>
      </c>
      <c r="B241" s="12" t="inlineStr">
        <is>
          <t>Haven</t>
        </is>
      </c>
      <c r="C241" s="12" t="inlineStr">
        <is>
          <t>A</t>
        </is>
      </c>
      <c r="D241" s="12" t="inlineStr">
        <is>
          <t>def</t>
        </is>
      </c>
      <c r="E241" s="12" t="n">
        <v>13</v>
      </c>
      <c r="F241" s="12" t="n">
        <v>0</v>
      </c>
      <c r="G241" s="12" t="n">
        <v>13</v>
      </c>
      <c r="H241" s="12" t="n">
        <v>0</v>
      </c>
      <c r="I241" s="12" t="inlineStr">
        <is>
          <t>Misa Esports_Haven</t>
        </is>
      </c>
    </row>
    <row r="242">
      <c r="A242" s="8" t="inlineStr">
        <is>
          <t>Misa Esports</t>
        </is>
      </c>
      <c r="B242" s="8" t="inlineStr">
        <is>
          <t>Haven</t>
        </is>
      </c>
      <c r="C242" s="8" t="inlineStr">
        <is>
          <t>B</t>
        </is>
      </c>
      <c r="D242" s="8" t="inlineStr">
        <is>
          <t>atk</t>
        </is>
      </c>
      <c r="E242" s="8" t="n">
        <v>14</v>
      </c>
      <c r="F242" s="8" t="n">
        <v>9</v>
      </c>
      <c r="G242" s="8" t="n">
        <v>5</v>
      </c>
      <c r="H242" s="8" t="n">
        <v>64.29000000000001</v>
      </c>
      <c r="I242" s="8" t="inlineStr">
        <is>
          <t>Misa Esports_Haven</t>
        </is>
      </c>
    </row>
    <row r="243">
      <c r="A243" s="12" t="inlineStr">
        <is>
          <t>Misa Esports</t>
        </is>
      </c>
      <c r="B243" s="12" t="inlineStr">
        <is>
          <t>Haven</t>
        </is>
      </c>
      <c r="C243" s="12" t="inlineStr">
        <is>
          <t>B</t>
        </is>
      </c>
      <c r="D243" s="12" t="inlineStr">
        <is>
          <t>def</t>
        </is>
      </c>
      <c r="E243" s="12" t="n">
        <v>14</v>
      </c>
      <c r="F243" s="12" t="n">
        <v>5</v>
      </c>
      <c r="G243" s="12" t="n">
        <v>9</v>
      </c>
      <c r="H243" s="12" t="n">
        <v>35.71</v>
      </c>
      <c r="I243" s="12" t="inlineStr">
        <is>
          <t>Misa Esports_Haven</t>
        </is>
      </c>
    </row>
    <row r="244">
      <c r="A244" s="8" t="inlineStr">
        <is>
          <t>Misa Esports</t>
        </is>
      </c>
      <c r="B244" s="8" t="inlineStr">
        <is>
          <t>Haven</t>
        </is>
      </c>
      <c r="C244" s="8" t="inlineStr">
        <is>
          <t>C</t>
        </is>
      </c>
      <c r="D244" s="8" t="inlineStr">
        <is>
          <t>atk</t>
        </is>
      </c>
      <c r="E244" s="8" t="n">
        <v>25</v>
      </c>
      <c r="F244" s="8" t="n">
        <v>21</v>
      </c>
      <c r="G244" s="8" t="n">
        <v>4</v>
      </c>
      <c r="H244" s="8" t="n">
        <v>84</v>
      </c>
      <c r="I244" s="8" t="inlineStr">
        <is>
          <t>Misa Esports_Haven</t>
        </is>
      </c>
    </row>
    <row r="245">
      <c r="A245" s="12" t="inlineStr">
        <is>
          <t>Misa Esports</t>
        </is>
      </c>
      <c r="B245" s="12" t="inlineStr">
        <is>
          <t>Haven</t>
        </is>
      </c>
      <c r="C245" s="12" t="inlineStr">
        <is>
          <t>C</t>
        </is>
      </c>
      <c r="D245" s="12" t="inlineStr">
        <is>
          <t>def</t>
        </is>
      </c>
      <c r="E245" s="12" t="n">
        <v>15</v>
      </c>
      <c r="F245" s="12" t="n">
        <v>2</v>
      </c>
      <c r="G245" s="12" t="n">
        <v>13</v>
      </c>
      <c r="H245" s="12" t="n">
        <v>13.33</v>
      </c>
      <c r="I245" s="12" t="inlineStr">
        <is>
          <t>Misa Esports_Haven</t>
        </is>
      </c>
    </row>
    <row r="246">
      <c r="A246" s="8" t="inlineStr">
        <is>
          <t>Misa Esports</t>
        </is>
      </c>
      <c r="B246" s="8" t="inlineStr">
        <is>
          <t>Pearl</t>
        </is>
      </c>
      <c r="C246" s="8" t="inlineStr">
        <is>
          <t>A</t>
        </is>
      </c>
      <c r="D246" s="8" t="inlineStr">
        <is>
          <t>def</t>
        </is>
      </c>
      <c r="E246" s="8" t="n">
        <v>18</v>
      </c>
      <c r="F246" s="8" t="n">
        <v>9</v>
      </c>
      <c r="G246" s="8" t="n">
        <v>9</v>
      </c>
      <c r="H246" s="8" t="n">
        <v>50</v>
      </c>
      <c r="I246" s="8" t="inlineStr">
        <is>
          <t>Misa Esports_Pearl</t>
        </is>
      </c>
    </row>
    <row r="247">
      <c r="A247" s="12" t="inlineStr">
        <is>
          <t>Misa Esports</t>
        </is>
      </c>
      <c r="B247" s="12" t="inlineStr">
        <is>
          <t>Pearl</t>
        </is>
      </c>
      <c r="C247" s="12" t="inlineStr">
        <is>
          <t>A</t>
        </is>
      </c>
      <c r="D247" s="12" t="inlineStr">
        <is>
          <t>atk</t>
        </is>
      </c>
      <c r="E247" s="12" t="n">
        <v>14</v>
      </c>
      <c r="F247" s="12" t="n">
        <v>10</v>
      </c>
      <c r="G247" s="12" t="n">
        <v>4</v>
      </c>
      <c r="H247" s="12" t="n">
        <v>71.43000000000001</v>
      </c>
      <c r="I247" s="12" t="inlineStr">
        <is>
          <t>Misa Esports_Pearl</t>
        </is>
      </c>
    </row>
    <row r="248">
      <c r="A248" s="8" t="inlineStr">
        <is>
          <t>Misa Esports</t>
        </is>
      </c>
      <c r="B248" s="8" t="inlineStr">
        <is>
          <t>Pearl</t>
        </is>
      </c>
      <c r="C248" s="8" t="inlineStr">
        <is>
          <t>B</t>
        </is>
      </c>
      <c r="D248" s="8" t="inlineStr">
        <is>
          <t>def</t>
        </is>
      </c>
      <c r="E248" s="8" t="n">
        <v>7</v>
      </c>
      <c r="F248" s="8" t="n">
        <v>2</v>
      </c>
      <c r="G248" s="8" t="n">
        <v>5</v>
      </c>
      <c r="H248" s="8" t="n">
        <v>28.57</v>
      </c>
      <c r="I248" s="8" t="inlineStr">
        <is>
          <t>Misa Esports_Pearl</t>
        </is>
      </c>
    </row>
    <row r="249">
      <c r="A249" s="12" t="inlineStr">
        <is>
          <t>Misa Esports</t>
        </is>
      </c>
      <c r="B249" s="12" t="inlineStr">
        <is>
          <t>Pearl</t>
        </is>
      </c>
      <c r="C249" s="12" t="inlineStr">
        <is>
          <t>B</t>
        </is>
      </c>
      <c r="D249" s="12" t="inlineStr">
        <is>
          <t>atk</t>
        </is>
      </c>
      <c r="E249" s="12" t="n">
        <v>6</v>
      </c>
      <c r="F249" s="12" t="n">
        <v>5</v>
      </c>
      <c r="G249" s="12" t="n">
        <v>1</v>
      </c>
      <c r="H249" s="12" t="n">
        <v>83.33</v>
      </c>
      <c r="I249" s="12" t="inlineStr">
        <is>
          <t>Misa Esports_Pearl</t>
        </is>
      </c>
    </row>
    <row r="250">
      <c r="A250" s="8" t="inlineStr">
        <is>
          <t>Misa Esports</t>
        </is>
      </c>
      <c r="B250" s="8" t="inlineStr">
        <is>
          <t>Split</t>
        </is>
      </c>
      <c r="C250" s="8" t="inlineStr">
        <is>
          <t>A</t>
        </is>
      </c>
      <c r="D250" s="8" t="inlineStr">
        <is>
          <t>def</t>
        </is>
      </c>
      <c r="E250" s="8" t="n">
        <v>26</v>
      </c>
      <c r="F250" s="8" t="n">
        <v>9</v>
      </c>
      <c r="G250" s="8" t="n">
        <v>17</v>
      </c>
      <c r="H250" s="8" t="n">
        <v>34.62</v>
      </c>
      <c r="I250" s="8" t="inlineStr">
        <is>
          <t>Misa Esports_Split</t>
        </is>
      </c>
    </row>
    <row r="251">
      <c r="A251" s="12" t="inlineStr">
        <is>
          <t>Misa Esports</t>
        </is>
      </c>
      <c r="B251" s="12" t="inlineStr">
        <is>
          <t>Split</t>
        </is>
      </c>
      <c r="C251" s="12" t="inlineStr">
        <is>
          <t>A</t>
        </is>
      </c>
      <c r="D251" s="12" t="inlineStr">
        <is>
          <t>atk</t>
        </is>
      </c>
      <c r="E251" s="12" t="n">
        <v>13</v>
      </c>
      <c r="F251" s="12" t="n">
        <v>13</v>
      </c>
      <c r="G251" s="12" t="n">
        <v>0</v>
      </c>
      <c r="H251" s="12" t="n">
        <v>100</v>
      </c>
      <c r="I251" s="12" t="inlineStr">
        <is>
          <t>Misa Esports_Split</t>
        </is>
      </c>
    </row>
    <row r="252">
      <c r="A252" s="8" t="inlineStr">
        <is>
          <t>Misa Esports</t>
        </is>
      </c>
      <c r="B252" s="8" t="inlineStr">
        <is>
          <t>Split</t>
        </is>
      </c>
      <c r="C252" s="8" t="inlineStr">
        <is>
          <t>B</t>
        </is>
      </c>
      <c r="D252" s="8" t="inlineStr">
        <is>
          <t>def</t>
        </is>
      </c>
      <c r="E252" s="8" t="n">
        <v>23</v>
      </c>
      <c r="F252" s="8" t="n">
        <v>5</v>
      </c>
      <c r="G252" s="8" t="n">
        <v>18</v>
      </c>
      <c r="H252" s="8" t="n">
        <v>21.74</v>
      </c>
      <c r="I252" s="8" t="inlineStr">
        <is>
          <t>Misa Esports_Split</t>
        </is>
      </c>
    </row>
    <row r="253">
      <c r="A253" s="12" t="inlineStr">
        <is>
          <t>Misa Esports</t>
        </is>
      </c>
      <c r="B253" s="12" t="inlineStr">
        <is>
          <t>Split</t>
        </is>
      </c>
      <c r="C253" s="12" t="inlineStr">
        <is>
          <t>B</t>
        </is>
      </c>
      <c r="D253" s="12" t="inlineStr">
        <is>
          <t>atk</t>
        </is>
      </c>
      <c r="E253" s="12" t="n">
        <v>12</v>
      </c>
      <c r="F253" s="12" t="n">
        <v>11</v>
      </c>
      <c r="G253" s="12" t="n">
        <v>1</v>
      </c>
      <c r="H253" s="12" t="n">
        <v>91.67</v>
      </c>
      <c r="I253" s="12" t="inlineStr">
        <is>
          <t>Misa Esports_Split</t>
        </is>
      </c>
    </row>
    <row r="254">
      <c r="A254" s="8" t="inlineStr">
        <is>
          <t>Pixel Lumina</t>
        </is>
      </c>
      <c r="B254" s="8" t="inlineStr">
        <is>
          <t>Bind</t>
        </is>
      </c>
      <c r="C254" s="8" t="inlineStr">
        <is>
          <t>A</t>
        </is>
      </c>
      <c r="D254" s="8" t="inlineStr">
        <is>
          <t>def</t>
        </is>
      </c>
      <c r="E254" s="8" t="n">
        <v>15</v>
      </c>
      <c r="F254" s="8" t="n">
        <v>4</v>
      </c>
      <c r="G254" s="8" t="n">
        <v>11</v>
      </c>
      <c r="H254" s="8" t="n">
        <v>26.67</v>
      </c>
      <c r="I254" s="8" t="inlineStr">
        <is>
          <t>Pixel Lumina_Bind</t>
        </is>
      </c>
    </row>
    <row r="255">
      <c r="A255" s="12" t="inlineStr">
        <is>
          <t>Pixel Lumina</t>
        </is>
      </c>
      <c r="B255" s="12" t="inlineStr">
        <is>
          <t>Bind</t>
        </is>
      </c>
      <c r="C255" s="12" t="inlineStr">
        <is>
          <t>A</t>
        </is>
      </c>
      <c r="D255" s="12" t="inlineStr">
        <is>
          <t>atk</t>
        </is>
      </c>
      <c r="E255" s="12" t="n">
        <v>11</v>
      </c>
      <c r="F255" s="12" t="n">
        <v>9</v>
      </c>
      <c r="G255" s="12" t="n">
        <v>2</v>
      </c>
      <c r="H255" s="12" t="n">
        <v>81.81999999999999</v>
      </c>
      <c r="I255" s="12" t="inlineStr">
        <is>
          <t>Pixel Lumina_Bind</t>
        </is>
      </c>
    </row>
    <row r="256">
      <c r="A256" s="8" t="inlineStr">
        <is>
          <t>Pixel Lumina</t>
        </is>
      </c>
      <c r="B256" s="8" t="inlineStr">
        <is>
          <t>Bind</t>
        </is>
      </c>
      <c r="C256" s="8" t="inlineStr">
        <is>
          <t>B</t>
        </is>
      </c>
      <c r="D256" s="8" t="inlineStr">
        <is>
          <t>def</t>
        </is>
      </c>
      <c r="E256" s="8" t="n">
        <v>12</v>
      </c>
      <c r="F256" s="8" t="n">
        <v>5</v>
      </c>
      <c r="G256" s="8" t="n">
        <v>7</v>
      </c>
      <c r="H256" s="8" t="n">
        <v>41.67</v>
      </c>
      <c r="I256" s="8" t="inlineStr">
        <is>
          <t>Pixel Lumina_Bind</t>
        </is>
      </c>
    </row>
    <row r="257">
      <c r="A257" s="12" t="inlineStr">
        <is>
          <t>Pixel Lumina</t>
        </is>
      </c>
      <c r="B257" s="12" t="inlineStr">
        <is>
          <t>Bind</t>
        </is>
      </c>
      <c r="C257" s="12" t="inlineStr">
        <is>
          <t>B</t>
        </is>
      </c>
      <c r="D257" s="12" t="inlineStr">
        <is>
          <t>atk</t>
        </is>
      </c>
      <c r="E257" s="12" t="n">
        <v>12</v>
      </c>
      <c r="F257" s="12" t="n">
        <v>12</v>
      </c>
      <c r="G257" s="12" t="n">
        <v>0</v>
      </c>
      <c r="H257" s="12" t="n">
        <v>100</v>
      </c>
      <c r="I257" s="12" t="inlineStr">
        <is>
          <t>Pixel Lumina_Bind</t>
        </is>
      </c>
    </row>
    <row r="258">
      <c r="A258" s="8" t="inlineStr">
        <is>
          <t>Pixel Lumina</t>
        </is>
      </c>
      <c r="B258" s="8" t="inlineStr">
        <is>
          <t>Breeze</t>
        </is>
      </c>
      <c r="C258" s="8" t="inlineStr">
        <is>
          <t>A</t>
        </is>
      </c>
      <c r="D258" s="8" t="inlineStr">
        <is>
          <t>def</t>
        </is>
      </c>
      <c r="E258" s="8" t="n">
        <v>11</v>
      </c>
      <c r="F258" s="8" t="n">
        <v>2</v>
      </c>
      <c r="G258" s="8" t="n">
        <v>9</v>
      </c>
      <c r="H258" s="8" t="n">
        <v>18.18</v>
      </c>
      <c r="I258" s="8" t="inlineStr">
        <is>
          <t>Pixel Lumina_Breeze</t>
        </is>
      </c>
    </row>
    <row r="259">
      <c r="A259" s="12" t="inlineStr">
        <is>
          <t>Pixel Lumina</t>
        </is>
      </c>
      <c r="B259" s="12" t="inlineStr">
        <is>
          <t>Breeze</t>
        </is>
      </c>
      <c r="C259" s="12" t="inlineStr">
        <is>
          <t>A</t>
        </is>
      </c>
      <c r="D259" s="12" t="inlineStr">
        <is>
          <t>atk</t>
        </is>
      </c>
      <c r="E259" s="12" t="n">
        <v>9</v>
      </c>
      <c r="F259" s="12" t="n">
        <v>6</v>
      </c>
      <c r="G259" s="12" t="n">
        <v>3</v>
      </c>
      <c r="H259" s="12" t="n">
        <v>66.67</v>
      </c>
      <c r="I259" s="12" t="inlineStr">
        <is>
          <t>Pixel Lumina_Breeze</t>
        </is>
      </c>
    </row>
    <row r="260">
      <c r="A260" s="8" t="inlineStr">
        <is>
          <t>Pixel Lumina</t>
        </is>
      </c>
      <c r="B260" s="8" t="inlineStr">
        <is>
          <t>Breeze</t>
        </is>
      </c>
      <c r="C260" s="8" t="inlineStr">
        <is>
          <t>B</t>
        </is>
      </c>
      <c r="D260" s="8" t="inlineStr">
        <is>
          <t>def</t>
        </is>
      </c>
      <c r="E260" s="8" t="n">
        <v>4</v>
      </c>
      <c r="F260" s="8" t="n">
        <v>2</v>
      </c>
      <c r="G260" s="8" t="n">
        <v>2</v>
      </c>
      <c r="H260" s="8" t="n">
        <v>50</v>
      </c>
      <c r="I260" s="8" t="inlineStr">
        <is>
          <t>Pixel Lumina_Breeze</t>
        </is>
      </c>
    </row>
    <row r="261">
      <c r="A261" s="12" t="inlineStr">
        <is>
          <t>Pixel Lumina</t>
        </is>
      </c>
      <c r="B261" s="12" t="inlineStr">
        <is>
          <t>Breeze</t>
        </is>
      </c>
      <c r="C261" s="12" t="inlineStr">
        <is>
          <t>B</t>
        </is>
      </c>
      <c r="D261" s="12" t="inlineStr">
        <is>
          <t>atk</t>
        </is>
      </c>
      <c r="E261" s="12" t="n">
        <v>2</v>
      </c>
      <c r="F261" s="12" t="n">
        <v>1</v>
      </c>
      <c r="G261" s="12" t="n">
        <v>1</v>
      </c>
      <c r="H261" s="12" t="n">
        <v>50</v>
      </c>
      <c r="I261" s="12" t="inlineStr">
        <is>
          <t>Pixel Lumina_Breeze</t>
        </is>
      </c>
    </row>
    <row r="262">
      <c r="A262" s="8" t="inlineStr">
        <is>
          <t>Pixel Lumina</t>
        </is>
      </c>
      <c r="B262" s="8" t="inlineStr">
        <is>
          <t>Pearl</t>
        </is>
      </c>
      <c r="C262" s="8" t="inlineStr">
        <is>
          <t>A</t>
        </is>
      </c>
      <c r="D262" s="8" t="inlineStr">
        <is>
          <t>def</t>
        </is>
      </c>
      <c r="E262" s="8" t="n">
        <v>11</v>
      </c>
      <c r="F262" s="8" t="n">
        <v>0</v>
      </c>
      <c r="G262" s="8" t="n">
        <v>11</v>
      </c>
      <c r="H262" s="8" t="n">
        <v>0</v>
      </c>
      <c r="I262" s="8" t="inlineStr">
        <is>
          <t>Pixel Lumina_Pearl</t>
        </is>
      </c>
    </row>
    <row r="263">
      <c r="A263" s="12" t="inlineStr">
        <is>
          <t>Pixel Lumina</t>
        </is>
      </c>
      <c r="B263" s="12" t="inlineStr">
        <is>
          <t>Pearl</t>
        </is>
      </c>
      <c r="C263" s="12" t="inlineStr">
        <is>
          <t>A</t>
        </is>
      </c>
      <c r="D263" s="12" t="inlineStr">
        <is>
          <t>atk</t>
        </is>
      </c>
      <c r="E263" s="12" t="n">
        <v>6</v>
      </c>
      <c r="F263" s="12" t="n">
        <v>4</v>
      </c>
      <c r="G263" s="12" t="n">
        <v>2</v>
      </c>
      <c r="H263" s="12" t="n">
        <v>66.67</v>
      </c>
      <c r="I263" s="12" t="inlineStr">
        <is>
          <t>Pixel Lumina_Pearl</t>
        </is>
      </c>
    </row>
    <row r="264">
      <c r="A264" s="8" t="inlineStr">
        <is>
          <t>Pixel Lumina</t>
        </is>
      </c>
      <c r="B264" s="8" t="inlineStr">
        <is>
          <t>Pearl</t>
        </is>
      </c>
      <c r="C264" s="8" t="inlineStr">
        <is>
          <t>B</t>
        </is>
      </c>
      <c r="D264" s="8" t="inlineStr">
        <is>
          <t>def</t>
        </is>
      </c>
      <c r="E264" s="8" t="n">
        <v>7</v>
      </c>
      <c r="F264" s="8" t="n">
        <v>3</v>
      </c>
      <c r="G264" s="8" t="n">
        <v>4</v>
      </c>
      <c r="H264" s="8" t="n">
        <v>42.86</v>
      </c>
      <c r="I264" s="8" t="inlineStr">
        <is>
          <t>Pixel Lumina_Pearl</t>
        </is>
      </c>
    </row>
    <row r="265">
      <c r="A265" s="12" t="inlineStr">
        <is>
          <t>Pixel Lumina</t>
        </is>
      </c>
      <c r="B265" s="12" t="inlineStr">
        <is>
          <t>Pearl</t>
        </is>
      </c>
      <c r="C265" s="12" t="inlineStr">
        <is>
          <t>B</t>
        </is>
      </c>
      <c r="D265" s="12" t="inlineStr">
        <is>
          <t>atk</t>
        </is>
      </c>
      <c r="E265" s="12" t="n">
        <v>8</v>
      </c>
      <c r="F265" s="12" t="n">
        <v>6</v>
      </c>
      <c r="G265" s="12" t="n">
        <v>2</v>
      </c>
      <c r="H265" s="12" t="n">
        <v>75</v>
      </c>
      <c r="I265" s="12" t="inlineStr">
        <is>
          <t>Pixel Lumina_Pearl</t>
        </is>
      </c>
    </row>
    <row r="266">
      <c r="A266" s="8" t="inlineStr">
        <is>
          <t>Pixel Lumina</t>
        </is>
      </c>
      <c r="B266" s="8" t="inlineStr">
        <is>
          <t>Split</t>
        </is>
      </c>
      <c r="C266" s="8" t="inlineStr">
        <is>
          <t>A</t>
        </is>
      </c>
      <c r="D266" s="8" t="inlineStr">
        <is>
          <t>atk</t>
        </is>
      </c>
      <c r="E266" s="8" t="n">
        <v>14</v>
      </c>
      <c r="F266" s="8" t="n">
        <v>10</v>
      </c>
      <c r="G266" s="8" t="n">
        <v>4</v>
      </c>
      <c r="H266" s="8" t="n">
        <v>71.43000000000001</v>
      </c>
      <c r="I266" s="8" t="inlineStr">
        <is>
          <t>Pixel Lumina_Split</t>
        </is>
      </c>
    </row>
    <row r="267">
      <c r="A267" s="12" t="inlineStr">
        <is>
          <t>Pixel Lumina</t>
        </is>
      </c>
      <c r="B267" s="12" t="inlineStr">
        <is>
          <t>Split</t>
        </is>
      </c>
      <c r="C267" s="12" t="inlineStr">
        <is>
          <t>A</t>
        </is>
      </c>
      <c r="D267" s="12" t="inlineStr">
        <is>
          <t>def</t>
        </is>
      </c>
      <c r="E267" s="12" t="n">
        <v>20</v>
      </c>
      <c r="F267" s="12" t="n">
        <v>6</v>
      </c>
      <c r="G267" s="12" t="n">
        <v>14</v>
      </c>
      <c r="H267" s="12" t="n">
        <v>30</v>
      </c>
      <c r="I267" s="12" t="inlineStr">
        <is>
          <t>Pixel Lumina_Split</t>
        </is>
      </c>
    </row>
    <row r="268">
      <c r="A268" s="8" t="inlineStr">
        <is>
          <t>Pixel Lumina</t>
        </is>
      </c>
      <c r="B268" s="8" t="inlineStr">
        <is>
          <t>Split</t>
        </is>
      </c>
      <c r="C268" s="8" t="inlineStr">
        <is>
          <t>B</t>
        </is>
      </c>
      <c r="D268" s="8" t="inlineStr">
        <is>
          <t>atk</t>
        </is>
      </c>
      <c r="E268" s="8" t="n">
        <v>22</v>
      </c>
      <c r="F268" s="8" t="n">
        <v>15</v>
      </c>
      <c r="G268" s="8" t="n">
        <v>7</v>
      </c>
      <c r="H268" s="8" t="n">
        <v>68.18000000000001</v>
      </c>
      <c r="I268" s="8" t="inlineStr">
        <is>
          <t>Pixel Lumina_Split</t>
        </is>
      </c>
    </row>
    <row r="269">
      <c r="A269" s="12" t="inlineStr">
        <is>
          <t>Pixel Lumina</t>
        </is>
      </c>
      <c r="B269" s="12" t="inlineStr">
        <is>
          <t>Split</t>
        </is>
      </c>
      <c r="C269" s="12" t="inlineStr">
        <is>
          <t>B</t>
        </is>
      </c>
      <c r="D269" s="12" t="inlineStr">
        <is>
          <t>def</t>
        </is>
      </c>
      <c r="E269" s="12" t="n">
        <v>14</v>
      </c>
      <c r="F269" s="12" t="n">
        <v>3</v>
      </c>
      <c r="G269" s="12" t="n">
        <v>11</v>
      </c>
      <c r="H269" s="12" t="n">
        <v>21.43</v>
      </c>
      <c r="I269" s="12" t="inlineStr">
        <is>
          <t>Pixel Lumina_Split</t>
        </is>
      </c>
    </row>
    <row r="270">
      <c r="A270" s="8" t="inlineStr">
        <is>
          <t>S2G Esports</t>
        </is>
      </c>
      <c r="B270" s="8" t="inlineStr">
        <is>
          <t>Abyss</t>
        </is>
      </c>
      <c r="C270" s="8" t="inlineStr">
        <is>
          <t>A</t>
        </is>
      </c>
      <c r="D270" s="8" t="inlineStr">
        <is>
          <t>def</t>
        </is>
      </c>
      <c r="E270" s="8" t="n">
        <v>14</v>
      </c>
      <c r="F270" s="8" t="n">
        <v>4</v>
      </c>
      <c r="G270" s="8" t="n">
        <v>10</v>
      </c>
      <c r="H270" s="8" t="n">
        <v>28.57</v>
      </c>
      <c r="I270" s="8" t="inlineStr">
        <is>
          <t>S2G Esports_Abyss</t>
        </is>
      </c>
    </row>
    <row r="271">
      <c r="A271" s="12" t="inlineStr">
        <is>
          <t>S2G Esports</t>
        </is>
      </c>
      <c r="B271" s="12" t="inlineStr">
        <is>
          <t>Abyss</t>
        </is>
      </c>
      <c r="C271" s="12" t="inlineStr">
        <is>
          <t>A</t>
        </is>
      </c>
      <c r="D271" s="12" t="inlineStr">
        <is>
          <t>atk</t>
        </is>
      </c>
      <c r="E271" s="12" t="n">
        <v>24</v>
      </c>
      <c r="F271" s="12" t="n">
        <v>19</v>
      </c>
      <c r="G271" s="12" t="n">
        <v>5</v>
      </c>
      <c r="H271" s="12" t="n">
        <v>79.17</v>
      </c>
      <c r="I271" s="12" t="inlineStr">
        <is>
          <t>S2G Esports_Abyss</t>
        </is>
      </c>
    </row>
    <row r="272">
      <c r="A272" s="8" t="inlineStr">
        <is>
          <t>S2G Esports</t>
        </is>
      </c>
      <c r="B272" s="8" t="inlineStr">
        <is>
          <t>Abyss</t>
        </is>
      </c>
      <c r="C272" s="8" t="inlineStr">
        <is>
          <t>B</t>
        </is>
      </c>
      <c r="D272" s="8" t="inlineStr">
        <is>
          <t>def</t>
        </is>
      </c>
      <c r="E272" s="8" t="n">
        <v>26</v>
      </c>
      <c r="F272" s="8" t="n">
        <v>11</v>
      </c>
      <c r="G272" s="8" t="n">
        <v>15</v>
      </c>
      <c r="H272" s="8" t="n">
        <v>42.31</v>
      </c>
      <c r="I272" s="8" t="inlineStr">
        <is>
          <t>S2G Esports_Abyss</t>
        </is>
      </c>
    </row>
    <row r="273">
      <c r="A273" s="12" t="inlineStr">
        <is>
          <t>S2G Esports</t>
        </is>
      </c>
      <c r="B273" s="12" t="inlineStr">
        <is>
          <t>Abyss</t>
        </is>
      </c>
      <c r="C273" s="12" t="inlineStr">
        <is>
          <t>B</t>
        </is>
      </c>
      <c r="D273" s="12" t="inlineStr">
        <is>
          <t>atk</t>
        </is>
      </c>
      <c r="E273" s="12" t="n">
        <v>29</v>
      </c>
      <c r="F273" s="12" t="n">
        <v>20</v>
      </c>
      <c r="G273" s="12" t="n">
        <v>9</v>
      </c>
      <c r="H273" s="12" t="n">
        <v>68.97</v>
      </c>
      <c r="I273" s="12" t="inlineStr">
        <is>
          <t>S2G Esports_Abyss</t>
        </is>
      </c>
    </row>
    <row r="274">
      <c r="A274" s="8" t="inlineStr">
        <is>
          <t>S2G Esports</t>
        </is>
      </c>
      <c r="B274" s="8" t="inlineStr">
        <is>
          <t>Bind</t>
        </is>
      </c>
      <c r="C274" s="8" t="inlineStr">
        <is>
          <t>A</t>
        </is>
      </c>
      <c r="D274" s="8" t="inlineStr">
        <is>
          <t>atk</t>
        </is>
      </c>
      <c r="E274" s="8" t="n">
        <v>3</v>
      </c>
      <c r="F274" s="8" t="n">
        <v>2</v>
      </c>
      <c r="G274" s="8" t="n">
        <v>1</v>
      </c>
      <c r="H274" s="8" t="n">
        <v>66.67</v>
      </c>
      <c r="I274" s="8" t="inlineStr">
        <is>
          <t>S2G Esports_Bind</t>
        </is>
      </c>
    </row>
    <row r="275">
      <c r="A275" s="12" t="inlineStr">
        <is>
          <t>S2G Esports</t>
        </is>
      </c>
      <c r="B275" s="12" t="inlineStr">
        <is>
          <t>Bind</t>
        </is>
      </c>
      <c r="C275" s="12" t="inlineStr">
        <is>
          <t>A</t>
        </is>
      </c>
      <c r="D275" s="12" t="inlineStr">
        <is>
          <t>def</t>
        </is>
      </c>
      <c r="E275" s="12" t="n">
        <v>4</v>
      </c>
      <c r="F275" s="12" t="n">
        <v>1</v>
      </c>
      <c r="G275" s="12" t="n">
        <v>3</v>
      </c>
      <c r="H275" s="12" t="n">
        <v>25</v>
      </c>
      <c r="I275" s="12" t="inlineStr">
        <is>
          <t>S2G Esports_Bind</t>
        </is>
      </c>
    </row>
    <row r="276">
      <c r="A276" s="8" t="inlineStr">
        <is>
          <t>S2G Esports</t>
        </is>
      </c>
      <c r="B276" s="8" t="inlineStr">
        <is>
          <t>Bind</t>
        </is>
      </c>
      <c r="C276" s="8" t="inlineStr">
        <is>
          <t>B</t>
        </is>
      </c>
      <c r="D276" s="8" t="inlineStr">
        <is>
          <t>atk</t>
        </is>
      </c>
      <c r="E276" s="8" t="n">
        <v>3</v>
      </c>
      <c r="F276" s="8" t="n">
        <v>3</v>
      </c>
      <c r="G276" s="8" t="n">
        <v>0</v>
      </c>
      <c r="H276" s="8" t="n">
        <v>100</v>
      </c>
      <c r="I276" s="8" t="inlineStr">
        <is>
          <t>S2G Esports_Bind</t>
        </is>
      </c>
    </row>
    <row r="277">
      <c r="A277" s="12" t="inlineStr">
        <is>
          <t>S2G Esports</t>
        </is>
      </c>
      <c r="B277" s="12" t="inlineStr">
        <is>
          <t>Bind</t>
        </is>
      </c>
      <c r="C277" s="12" t="inlineStr">
        <is>
          <t>B</t>
        </is>
      </c>
      <c r="D277" s="12" t="inlineStr">
        <is>
          <t>def</t>
        </is>
      </c>
      <c r="E277" s="12" t="n">
        <v>3</v>
      </c>
      <c r="F277" s="12" t="n">
        <v>0</v>
      </c>
      <c r="G277" s="12" t="n">
        <v>3</v>
      </c>
      <c r="H277" s="12" t="n">
        <v>0</v>
      </c>
      <c r="I277" s="12" t="inlineStr">
        <is>
          <t>S2G Esports_Bind</t>
        </is>
      </c>
    </row>
    <row r="278">
      <c r="A278" s="8" t="inlineStr">
        <is>
          <t>S2G Esports</t>
        </is>
      </c>
      <c r="B278" s="8" t="inlineStr">
        <is>
          <t>Breeze</t>
        </is>
      </c>
      <c r="C278" s="8" t="inlineStr">
        <is>
          <t>A</t>
        </is>
      </c>
      <c r="D278" s="8" t="inlineStr">
        <is>
          <t>atk</t>
        </is>
      </c>
      <c r="E278" s="8" t="n">
        <v>31</v>
      </c>
      <c r="F278" s="8" t="n">
        <v>24</v>
      </c>
      <c r="G278" s="8" t="n">
        <v>7</v>
      </c>
      <c r="H278" s="8" t="n">
        <v>77.42</v>
      </c>
      <c r="I278" s="8" t="inlineStr">
        <is>
          <t>S2G Esports_Breeze</t>
        </is>
      </c>
    </row>
    <row r="279">
      <c r="A279" s="12" t="inlineStr">
        <is>
          <t>S2G Esports</t>
        </is>
      </c>
      <c r="B279" s="12" t="inlineStr">
        <is>
          <t>Breeze</t>
        </is>
      </c>
      <c r="C279" s="12" t="inlineStr">
        <is>
          <t>A</t>
        </is>
      </c>
      <c r="D279" s="12" t="inlineStr">
        <is>
          <t>def</t>
        </is>
      </c>
      <c r="E279" s="12" t="n">
        <v>23</v>
      </c>
      <c r="F279" s="12" t="n">
        <v>6</v>
      </c>
      <c r="G279" s="12" t="n">
        <v>17</v>
      </c>
      <c r="H279" s="12" t="n">
        <v>26.09</v>
      </c>
      <c r="I279" s="12" t="inlineStr">
        <is>
          <t>S2G Esports_Breeze</t>
        </is>
      </c>
    </row>
    <row r="280">
      <c r="A280" s="8" t="inlineStr">
        <is>
          <t>S2G Esports</t>
        </is>
      </c>
      <c r="B280" s="8" t="inlineStr">
        <is>
          <t>Breeze</t>
        </is>
      </c>
      <c r="C280" s="8" t="inlineStr">
        <is>
          <t>B</t>
        </is>
      </c>
      <c r="D280" s="8" t="inlineStr">
        <is>
          <t>atk</t>
        </is>
      </c>
      <c r="E280" s="8" t="n">
        <v>15</v>
      </c>
      <c r="F280" s="8" t="n">
        <v>8</v>
      </c>
      <c r="G280" s="8" t="n">
        <v>7</v>
      </c>
      <c r="H280" s="8" t="n">
        <v>53.33</v>
      </c>
      <c r="I280" s="8" t="inlineStr">
        <is>
          <t>S2G Esports_Breeze</t>
        </is>
      </c>
    </row>
    <row r="281">
      <c r="A281" s="12" t="inlineStr">
        <is>
          <t>S2G Esports</t>
        </is>
      </c>
      <c r="B281" s="12" t="inlineStr">
        <is>
          <t>Breeze</t>
        </is>
      </c>
      <c r="C281" s="12" t="inlineStr">
        <is>
          <t>B</t>
        </is>
      </c>
      <c r="D281" s="12" t="inlineStr">
        <is>
          <t>def</t>
        </is>
      </c>
      <c r="E281" s="12" t="n">
        <v>26</v>
      </c>
      <c r="F281" s="12" t="n">
        <v>10</v>
      </c>
      <c r="G281" s="12" t="n">
        <v>16</v>
      </c>
      <c r="H281" s="12" t="n">
        <v>38.46</v>
      </c>
      <c r="I281" s="12" t="inlineStr">
        <is>
          <t>S2G Esports_Breeze</t>
        </is>
      </c>
    </row>
    <row r="282">
      <c r="A282" s="8" t="inlineStr">
        <is>
          <t>S2G Esports</t>
        </is>
      </c>
      <c r="B282" s="8" t="inlineStr">
        <is>
          <t>Corrode</t>
        </is>
      </c>
      <c r="C282" s="8" t="inlineStr">
        <is>
          <t>A</t>
        </is>
      </c>
      <c r="D282" s="8" t="inlineStr">
        <is>
          <t>atk</t>
        </is>
      </c>
      <c r="E282" s="8" t="n">
        <v>10</v>
      </c>
      <c r="F282" s="8" t="n">
        <v>8</v>
      </c>
      <c r="G282" s="8" t="n">
        <v>2</v>
      </c>
      <c r="H282" s="8" t="n">
        <v>80</v>
      </c>
      <c r="I282" s="8" t="inlineStr">
        <is>
          <t>S2G Esports_Corrode</t>
        </is>
      </c>
    </row>
    <row r="283">
      <c r="A283" s="12" t="inlineStr">
        <is>
          <t>S2G Esports</t>
        </is>
      </c>
      <c r="B283" s="12" t="inlineStr">
        <is>
          <t>Corrode</t>
        </is>
      </c>
      <c r="C283" s="12" t="inlineStr">
        <is>
          <t>A</t>
        </is>
      </c>
      <c r="D283" s="12" t="inlineStr">
        <is>
          <t>def</t>
        </is>
      </c>
      <c r="E283" s="12" t="n">
        <v>16</v>
      </c>
      <c r="F283" s="12" t="n">
        <v>3</v>
      </c>
      <c r="G283" s="12" t="n">
        <v>13</v>
      </c>
      <c r="H283" s="12" t="n">
        <v>18.75</v>
      </c>
      <c r="I283" s="12" t="inlineStr">
        <is>
          <t>S2G Esports_Corrode</t>
        </is>
      </c>
    </row>
    <row r="284">
      <c r="A284" s="8" t="inlineStr">
        <is>
          <t>S2G Esports</t>
        </is>
      </c>
      <c r="B284" s="8" t="inlineStr">
        <is>
          <t>Corrode</t>
        </is>
      </c>
      <c r="C284" s="8" t="inlineStr">
        <is>
          <t>B</t>
        </is>
      </c>
      <c r="D284" s="8" t="inlineStr">
        <is>
          <t>atk</t>
        </is>
      </c>
      <c r="E284" s="8" t="n">
        <v>17</v>
      </c>
      <c r="F284" s="8" t="n">
        <v>13</v>
      </c>
      <c r="G284" s="8" t="n">
        <v>4</v>
      </c>
      <c r="H284" s="8" t="n">
        <v>76.47</v>
      </c>
      <c r="I284" s="8" t="inlineStr">
        <is>
          <t>S2G Esports_Corrode</t>
        </is>
      </c>
    </row>
    <row r="285">
      <c r="A285" s="12" t="inlineStr">
        <is>
          <t>S2G Esports</t>
        </is>
      </c>
      <c r="B285" s="12" t="inlineStr">
        <is>
          <t>Corrode</t>
        </is>
      </c>
      <c r="C285" s="12" t="inlineStr">
        <is>
          <t>B</t>
        </is>
      </c>
      <c r="D285" s="12" t="inlineStr">
        <is>
          <t>def</t>
        </is>
      </c>
      <c r="E285" s="12" t="n">
        <v>14</v>
      </c>
      <c r="F285" s="12" t="n">
        <v>7</v>
      </c>
      <c r="G285" s="12" t="n">
        <v>7</v>
      </c>
      <c r="H285" s="12" t="n">
        <v>50</v>
      </c>
      <c r="I285" s="12" t="inlineStr">
        <is>
          <t>S2G Esports_Corrode</t>
        </is>
      </c>
    </row>
    <row r="286">
      <c r="A286" s="8" t="inlineStr">
        <is>
          <t>S2G Esports</t>
        </is>
      </c>
      <c r="B286" s="8" t="inlineStr">
        <is>
          <t>Haven</t>
        </is>
      </c>
      <c r="C286" s="8" t="inlineStr">
        <is>
          <t>A</t>
        </is>
      </c>
      <c r="D286" s="8" t="inlineStr">
        <is>
          <t>def</t>
        </is>
      </c>
      <c r="E286" s="8" t="n">
        <v>12</v>
      </c>
      <c r="F286" s="8" t="n">
        <v>0</v>
      </c>
      <c r="G286" s="8" t="n">
        <v>12</v>
      </c>
      <c r="H286" s="8" t="n">
        <v>0</v>
      </c>
      <c r="I286" s="8" t="inlineStr">
        <is>
          <t>S2G Esports_Haven</t>
        </is>
      </c>
    </row>
    <row r="287">
      <c r="A287" s="12" t="inlineStr">
        <is>
          <t>S2G Esports</t>
        </is>
      </c>
      <c r="B287" s="12" t="inlineStr">
        <is>
          <t>Haven</t>
        </is>
      </c>
      <c r="C287" s="12" t="inlineStr">
        <is>
          <t>A</t>
        </is>
      </c>
      <c r="D287" s="12" t="inlineStr">
        <is>
          <t>atk</t>
        </is>
      </c>
      <c r="E287" s="12" t="n">
        <v>7</v>
      </c>
      <c r="F287" s="12" t="n">
        <v>7</v>
      </c>
      <c r="G287" s="12" t="n">
        <v>0</v>
      </c>
      <c r="H287" s="12" t="n">
        <v>100</v>
      </c>
      <c r="I287" s="12" t="inlineStr">
        <is>
          <t>S2G Esports_Haven</t>
        </is>
      </c>
    </row>
    <row r="288">
      <c r="A288" s="8" t="inlineStr">
        <is>
          <t>S2G Esports</t>
        </is>
      </c>
      <c r="B288" s="8" t="inlineStr">
        <is>
          <t>Haven</t>
        </is>
      </c>
      <c r="C288" s="8" t="inlineStr">
        <is>
          <t>B</t>
        </is>
      </c>
      <c r="D288" s="8" t="inlineStr">
        <is>
          <t>def</t>
        </is>
      </c>
      <c r="E288" s="8" t="n">
        <v>6</v>
      </c>
      <c r="F288" s="8" t="n">
        <v>4</v>
      </c>
      <c r="G288" s="8" t="n">
        <v>2</v>
      </c>
      <c r="H288" s="8" t="n">
        <v>66.67</v>
      </c>
      <c r="I288" s="8" t="inlineStr">
        <is>
          <t>S2G Esports_Haven</t>
        </is>
      </c>
    </row>
    <row r="289">
      <c r="A289" s="12" t="inlineStr">
        <is>
          <t>S2G Esports</t>
        </is>
      </c>
      <c r="B289" s="12" t="inlineStr">
        <is>
          <t>Haven</t>
        </is>
      </c>
      <c r="C289" s="12" t="inlineStr">
        <is>
          <t>B</t>
        </is>
      </c>
      <c r="D289" s="12" t="inlineStr">
        <is>
          <t>atk</t>
        </is>
      </c>
      <c r="E289" s="12" t="n">
        <v>6</v>
      </c>
      <c r="F289" s="12" t="n">
        <v>4</v>
      </c>
      <c r="G289" s="12" t="n">
        <v>2</v>
      </c>
      <c r="H289" s="12" t="n">
        <v>66.67</v>
      </c>
      <c r="I289" s="12" t="inlineStr">
        <is>
          <t>S2G Esports_Haven</t>
        </is>
      </c>
    </row>
    <row r="290">
      <c r="A290" s="8" t="inlineStr">
        <is>
          <t>S2G Esports</t>
        </is>
      </c>
      <c r="B290" s="8" t="inlineStr">
        <is>
          <t>Haven</t>
        </is>
      </c>
      <c r="C290" s="8" t="inlineStr">
        <is>
          <t>C</t>
        </is>
      </c>
      <c r="D290" s="8" t="inlineStr">
        <is>
          <t>def</t>
        </is>
      </c>
      <c r="E290" s="8" t="n">
        <v>14</v>
      </c>
      <c r="F290" s="8" t="n">
        <v>3</v>
      </c>
      <c r="G290" s="8" t="n">
        <v>11</v>
      </c>
      <c r="H290" s="8" t="n">
        <v>21.43</v>
      </c>
      <c r="I290" s="8" t="inlineStr">
        <is>
          <t>S2G Esports_Haven</t>
        </is>
      </c>
    </row>
    <row r="291">
      <c r="A291" s="12" t="inlineStr">
        <is>
          <t>S2G Esports</t>
        </is>
      </c>
      <c r="B291" s="12" t="inlineStr">
        <is>
          <t>Haven</t>
        </is>
      </c>
      <c r="C291" s="12" t="inlineStr">
        <is>
          <t>C</t>
        </is>
      </c>
      <c r="D291" s="12" t="inlineStr">
        <is>
          <t>atk</t>
        </is>
      </c>
      <c r="E291" s="12" t="n">
        <v>11</v>
      </c>
      <c r="F291" s="12" t="n">
        <v>7</v>
      </c>
      <c r="G291" s="12" t="n">
        <v>4</v>
      </c>
      <c r="H291" s="12" t="n">
        <v>63.64</v>
      </c>
      <c r="I291" s="12" t="inlineStr">
        <is>
          <t>S2G Esports_Haven</t>
        </is>
      </c>
    </row>
    <row r="292">
      <c r="A292" s="8" t="inlineStr">
        <is>
          <t>S2G Esports</t>
        </is>
      </c>
      <c r="B292" s="8" t="inlineStr">
        <is>
          <t>Pearl</t>
        </is>
      </c>
      <c r="C292" s="8" t="inlineStr">
        <is>
          <t>A</t>
        </is>
      </c>
      <c r="D292" s="8" t="inlineStr">
        <is>
          <t>atk</t>
        </is>
      </c>
      <c r="E292" s="8" t="n">
        <v>20</v>
      </c>
      <c r="F292" s="8" t="n">
        <v>10</v>
      </c>
      <c r="G292" s="8" t="n">
        <v>10</v>
      </c>
      <c r="H292" s="8" t="n">
        <v>50</v>
      </c>
      <c r="I292" s="8" t="inlineStr">
        <is>
          <t>S2G Esports_Pearl</t>
        </is>
      </c>
    </row>
    <row r="293">
      <c r="A293" s="12" t="inlineStr">
        <is>
          <t>S2G Esports</t>
        </is>
      </c>
      <c r="B293" s="12" t="inlineStr">
        <is>
          <t>Pearl</t>
        </is>
      </c>
      <c r="C293" s="12" t="inlineStr">
        <is>
          <t>A</t>
        </is>
      </c>
      <c r="D293" s="12" t="inlineStr">
        <is>
          <t>def</t>
        </is>
      </c>
      <c r="E293" s="12" t="n">
        <v>19</v>
      </c>
      <c r="F293" s="12" t="n">
        <v>6</v>
      </c>
      <c r="G293" s="12" t="n">
        <v>13</v>
      </c>
      <c r="H293" s="12" t="n">
        <v>31.58</v>
      </c>
      <c r="I293" s="12" t="inlineStr">
        <is>
          <t>S2G Esports_Pearl</t>
        </is>
      </c>
    </row>
    <row r="294">
      <c r="A294" s="8" t="inlineStr">
        <is>
          <t>S2G Esports</t>
        </is>
      </c>
      <c r="B294" s="8" t="inlineStr">
        <is>
          <t>Pearl</t>
        </is>
      </c>
      <c r="C294" s="8" t="inlineStr">
        <is>
          <t>B</t>
        </is>
      </c>
      <c r="D294" s="8" t="inlineStr">
        <is>
          <t>atk</t>
        </is>
      </c>
      <c r="E294" s="8" t="n">
        <v>15</v>
      </c>
      <c r="F294" s="8" t="n">
        <v>11</v>
      </c>
      <c r="G294" s="8" t="n">
        <v>4</v>
      </c>
      <c r="H294" s="8" t="n">
        <v>73.33</v>
      </c>
      <c r="I294" s="8" t="inlineStr">
        <is>
          <t>S2G Esports_Pearl</t>
        </is>
      </c>
    </row>
    <row r="295">
      <c r="A295" s="12" t="inlineStr">
        <is>
          <t>S2G Esports</t>
        </is>
      </c>
      <c r="B295" s="12" t="inlineStr">
        <is>
          <t>Pearl</t>
        </is>
      </c>
      <c r="C295" s="12" t="inlineStr">
        <is>
          <t>B</t>
        </is>
      </c>
      <c r="D295" s="12" t="inlineStr">
        <is>
          <t>def</t>
        </is>
      </c>
      <c r="E295" s="12" t="n">
        <v>16</v>
      </c>
      <c r="F295" s="12" t="n">
        <v>5</v>
      </c>
      <c r="G295" s="12" t="n">
        <v>11</v>
      </c>
      <c r="H295" s="12" t="n">
        <v>31.25</v>
      </c>
      <c r="I295" s="12" t="inlineStr">
        <is>
          <t>S2G Esports_Pearl</t>
        </is>
      </c>
    </row>
    <row r="296">
      <c r="A296" s="8" t="inlineStr">
        <is>
          <t>S2G Esports</t>
        </is>
      </c>
      <c r="B296" s="8" t="inlineStr">
        <is>
          <t>Split</t>
        </is>
      </c>
      <c r="C296" s="8" t="inlineStr">
        <is>
          <t>A</t>
        </is>
      </c>
      <c r="D296" s="8" t="inlineStr">
        <is>
          <t>atk</t>
        </is>
      </c>
      <c r="E296" s="8" t="n">
        <v>21</v>
      </c>
      <c r="F296" s="8" t="n">
        <v>13</v>
      </c>
      <c r="G296" s="8" t="n">
        <v>8</v>
      </c>
      <c r="H296" s="8" t="n">
        <v>61.9</v>
      </c>
      <c r="I296" s="8" t="inlineStr">
        <is>
          <t>S2G Esports_Split</t>
        </is>
      </c>
    </row>
    <row r="297">
      <c r="A297" s="12" t="inlineStr">
        <is>
          <t>S2G Esports</t>
        </is>
      </c>
      <c r="B297" s="12" t="inlineStr">
        <is>
          <t>Split</t>
        </is>
      </c>
      <c r="C297" s="12" t="inlineStr">
        <is>
          <t>A</t>
        </is>
      </c>
      <c r="D297" s="12" t="inlineStr">
        <is>
          <t>def</t>
        </is>
      </c>
      <c r="E297" s="12" t="n">
        <v>11</v>
      </c>
      <c r="F297" s="12" t="n">
        <v>2</v>
      </c>
      <c r="G297" s="12" t="n">
        <v>9</v>
      </c>
      <c r="H297" s="12" t="n">
        <v>18.18</v>
      </c>
      <c r="I297" s="12" t="inlineStr">
        <is>
          <t>S2G Esports_Split</t>
        </is>
      </c>
    </row>
    <row r="298">
      <c r="A298" s="8" t="inlineStr">
        <is>
          <t>S2G Esports</t>
        </is>
      </c>
      <c r="B298" s="8" t="inlineStr">
        <is>
          <t>Split</t>
        </is>
      </c>
      <c r="C298" s="8" t="inlineStr">
        <is>
          <t>B</t>
        </is>
      </c>
      <c r="D298" s="8" t="inlineStr">
        <is>
          <t>atk</t>
        </is>
      </c>
      <c r="E298" s="8" t="n">
        <v>17</v>
      </c>
      <c r="F298" s="8" t="n">
        <v>10</v>
      </c>
      <c r="G298" s="8" t="n">
        <v>7</v>
      </c>
      <c r="H298" s="8" t="n">
        <v>58.82</v>
      </c>
      <c r="I298" s="8" t="inlineStr">
        <is>
          <t>S2G Esports_Split</t>
        </is>
      </c>
    </row>
    <row r="299">
      <c r="A299" s="12" t="inlineStr">
        <is>
          <t>S2G Esports</t>
        </is>
      </c>
      <c r="B299" s="12" t="inlineStr">
        <is>
          <t>Split</t>
        </is>
      </c>
      <c r="C299" s="12" t="inlineStr">
        <is>
          <t>B</t>
        </is>
      </c>
      <c r="D299" s="12" t="inlineStr">
        <is>
          <t>def</t>
        </is>
      </c>
      <c r="E299" s="12" t="n">
        <v>14</v>
      </c>
      <c r="F299" s="12" t="n">
        <v>3</v>
      </c>
      <c r="G299" s="12" t="n">
        <v>11</v>
      </c>
      <c r="H299" s="12" t="n">
        <v>21.43</v>
      </c>
      <c r="I299" s="12" t="inlineStr">
        <is>
          <t>S2G Esports_Split</t>
        </is>
      </c>
    </row>
    <row r="300">
      <c r="A300" s="8" t="inlineStr">
        <is>
          <t>Stallions Esports</t>
        </is>
      </c>
      <c r="B300" s="8" t="inlineStr">
        <is>
          <t>Abyss</t>
        </is>
      </c>
      <c r="C300" s="8" t="inlineStr">
        <is>
          <t>A</t>
        </is>
      </c>
      <c r="D300" s="8" t="inlineStr">
        <is>
          <t>def</t>
        </is>
      </c>
      <c r="E300" s="8" t="n">
        <v>13</v>
      </c>
      <c r="F300" s="8" t="n">
        <v>3</v>
      </c>
      <c r="G300" s="8" t="n">
        <v>10</v>
      </c>
      <c r="H300" s="8" t="n">
        <v>23.08</v>
      </c>
      <c r="I300" s="8" t="inlineStr">
        <is>
          <t>Stallions Esports_Abyss</t>
        </is>
      </c>
    </row>
    <row r="301">
      <c r="A301" s="12" t="inlineStr">
        <is>
          <t>Stallions Esports</t>
        </is>
      </c>
      <c r="B301" s="12" t="inlineStr">
        <is>
          <t>Abyss</t>
        </is>
      </c>
      <c r="C301" s="12" t="inlineStr">
        <is>
          <t>A</t>
        </is>
      </c>
      <c r="D301" s="12" t="inlineStr">
        <is>
          <t>atk</t>
        </is>
      </c>
      <c r="E301" s="12" t="n">
        <v>17</v>
      </c>
      <c r="F301" s="12" t="n">
        <v>14</v>
      </c>
      <c r="G301" s="12" t="n">
        <v>3</v>
      </c>
      <c r="H301" s="12" t="n">
        <v>82.34999999999999</v>
      </c>
      <c r="I301" s="12" t="inlineStr">
        <is>
          <t>Stallions Esports_Abyss</t>
        </is>
      </c>
    </row>
    <row r="302">
      <c r="A302" s="8" t="inlineStr">
        <is>
          <t>Stallions Esports</t>
        </is>
      </c>
      <c r="B302" s="8" t="inlineStr">
        <is>
          <t>Abyss</t>
        </is>
      </c>
      <c r="C302" s="8" t="inlineStr">
        <is>
          <t>B</t>
        </is>
      </c>
      <c r="D302" s="8" t="inlineStr">
        <is>
          <t>def</t>
        </is>
      </c>
      <c r="E302" s="8" t="n">
        <v>21</v>
      </c>
      <c r="F302" s="8" t="n">
        <v>3</v>
      </c>
      <c r="G302" s="8" t="n">
        <v>18</v>
      </c>
      <c r="H302" s="8" t="n">
        <v>14.29</v>
      </c>
      <c r="I302" s="8" t="inlineStr">
        <is>
          <t>Stallions Esports_Abyss</t>
        </is>
      </c>
    </row>
    <row r="303">
      <c r="A303" s="12" t="inlineStr">
        <is>
          <t>Stallions Esports</t>
        </is>
      </c>
      <c r="B303" s="12" t="inlineStr">
        <is>
          <t>Abyss</t>
        </is>
      </c>
      <c r="C303" s="12" t="inlineStr">
        <is>
          <t>B</t>
        </is>
      </c>
      <c r="D303" s="12" t="inlineStr">
        <is>
          <t>atk</t>
        </is>
      </c>
      <c r="E303" s="12" t="n">
        <v>26</v>
      </c>
      <c r="F303" s="12" t="n">
        <v>23</v>
      </c>
      <c r="G303" s="12" t="n">
        <v>3</v>
      </c>
      <c r="H303" s="12" t="n">
        <v>88.45999999999999</v>
      </c>
      <c r="I303" s="12" t="inlineStr">
        <is>
          <t>Stallions Esports_Abyss</t>
        </is>
      </c>
    </row>
    <row r="304">
      <c r="A304" s="8" t="inlineStr">
        <is>
          <t>Stallions Esports</t>
        </is>
      </c>
      <c r="B304" s="8" t="inlineStr">
        <is>
          <t>Bind</t>
        </is>
      </c>
      <c r="C304" s="8" t="inlineStr">
        <is>
          <t>A</t>
        </is>
      </c>
      <c r="D304" s="8" t="inlineStr">
        <is>
          <t>def</t>
        </is>
      </c>
      <c r="E304" s="8" t="n">
        <v>20</v>
      </c>
      <c r="F304" s="8" t="n">
        <v>4</v>
      </c>
      <c r="G304" s="8" t="n">
        <v>16</v>
      </c>
      <c r="H304" s="8" t="n">
        <v>20</v>
      </c>
      <c r="I304" s="8" t="inlineStr">
        <is>
          <t>Stallions Esports_Bind</t>
        </is>
      </c>
    </row>
    <row r="305">
      <c r="A305" s="12" t="inlineStr">
        <is>
          <t>Stallions Esports</t>
        </is>
      </c>
      <c r="B305" s="12" t="inlineStr">
        <is>
          <t>Bind</t>
        </is>
      </c>
      <c r="C305" s="12" t="inlineStr">
        <is>
          <t>A</t>
        </is>
      </c>
      <c r="D305" s="12" t="inlineStr">
        <is>
          <t>atk</t>
        </is>
      </c>
      <c r="E305" s="12" t="n">
        <v>23</v>
      </c>
      <c r="F305" s="12" t="n">
        <v>17</v>
      </c>
      <c r="G305" s="12" t="n">
        <v>6</v>
      </c>
      <c r="H305" s="12" t="n">
        <v>73.91</v>
      </c>
      <c r="I305" s="12" t="inlineStr">
        <is>
          <t>Stallions Esports_Bind</t>
        </is>
      </c>
    </row>
    <row r="306">
      <c r="A306" s="8" t="inlineStr">
        <is>
          <t>Stallions Esports</t>
        </is>
      </c>
      <c r="B306" s="8" t="inlineStr">
        <is>
          <t>Bind</t>
        </is>
      </c>
      <c r="C306" s="8" t="inlineStr">
        <is>
          <t>B</t>
        </is>
      </c>
      <c r="D306" s="8" t="inlineStr">
        <is>
          <t>def</t>
        </is>
      </c>
      <c r="E306" s="8" t="n">
        <v>13</v>
      </c>
      <c r="F306" s="8" t="n">
        <v>1</v>
      </c>
      <c r="G306" s="8" t="n">
        <v>12</v>
      </c>
      <c r="H306" s="8" t="n">
        <v>7.69</v>
      </c>
      <c r="I306" s="8" t="inlineStr">
        <is>
          <t>Stallions Esports_Bind</t>
        </is>
      </c>
    </row>
    <row r="307">
      <c r="A307" s="12" t="inlineStr">
        <is>
          <t>Stallions Esports</t>
        </is>
      </c>
      <c r="B307" s="12" t="inlineStr">
        <is>
          <t>Bind</t>
        </is>
      </c>
      <c r="C307" s="12" t="inlineStr">
        <is>
          <t>B</t>
        </is>
      </c>
      <c r="D307" s="12" t="inlineStr">
        <is>
          <t>atk</t>
        </is>
      </c>
      <c r="E307" s="12" t="n">
        <v>13</v>
      </c>
      <c r="F307" s="12" t="n">
        <v>11</v>
      </c>
      <c r="G307" s="12" t="n">
        <v>2</v>
      </c>
      <c r="H307" s="12" t="n">
        <v>84.62</v>
      </c>
      <c r="I307" s="12" t="inlineStr">
        <is>
          <t>Stallions Esports_Bind</t>
        </is>
      </c>
    </row>
    <row r="308">
      <c r="A308" s="8" t="inlineStr">
        <is>
          <t>Stallions Esports</t>
        </is>
      </c>
      <c r="B308" s="8" t="inlineStr">
        <is>
          <t>Breeze</t>
        </is>
      </c>
      <c r="C308" s="8" t="inlineStr">
        <is>
          <t>A</t>
        </is>
      </c>
      <c r="D308" s="8" t="inlineStr">
        <is>
          <t>atk</t>
        </is>
      </c>
      <c r="E308" s="8" t="n">
        <v>10</v>
      </c>
      <c r="F308" s="8" t="n">
        <v>7</v>
      </c>
      <c r="G308" s="8" t="n">
        <v>3</v>
      </c>
      <c r="H308" s="8" t="n">
        <v>70</v>
      </c>
      <c r="I308" s="8" t="inlineStr">
        <is>
          <t>Stallions Esports_Breeze</t>
        </is>
      </c>
    </row>
    <row r="309">
      <c r="A309" s="12" t="inlineStr">
        <is>
          <t>Stallions Esports</t>
        </is>
      </c>
      <c r="B309" s="12" t="inlineStr">
        <is>
          <t>Breeze</t>
        </is>
      </c>
      <c r="C309" s="12" t="inlineStr">
        <is>
          <t>A</t>
        </is>
      </c>
      <c r="D309" s="12" t="inlineStr">
        <is>
          <t>def</t>
        </is>
      </c>
      <c r="E309" s="12" t="n">
        <v>7</v>
      </c>
      <c r="F309" s="12" t="n">
        <v>2</v>
      </c>
      <c r="G309" s="12" t="n">
        <v>5</v>
      </c>
      <c r="H309" s="12" t="n">
        <v>28.57</v>
      </c>
      <c r="I309" s="12" t="inlineStr">
        <is>
          <t>Stallions Esports_Breeze</t>
        </is>
      </c>
    </row>
    <row r="310">
      <c r="A310" s="8" t="inlineStr">
        <is>
          <t>Stallions Esports</t>
        </is>
      </c>
      <c r="B310" s="8" t="inlineStr">
        <is>
          <t>Breeze</t>
        </is>
      </c>
      <c r="C310" s="8" t="inlineStr">
        <is>
          <t>B</t>
        </is>
      </c>
      <c r="D310" s="8" t="inlineStr">
        <is>
          <t>atk</t>
        </is>
      </c>
      <c r="E310" s="8" t="n">
        <v>6</v>
      </c>
      <c r="F310" s="8" t="n">
        <v>5</v>
      </c>
      <c r="G310" s="8" t="n">
        <v>1</v>
      </c>
      <c r="H310" s="8" t="n">
        <v>83.33</v>
      </c>
      <c r="I310" s="8" t="inlineStr">
        <is>
          <t>Stallions Esports_Breeze</t>
        </is>
      </c>
    </row>
    <row r="311">
      <c r="A311" s="12" t="inlineStr">
        <is>
          <t>Stallions Esports</t>
        </is>
      </c>
      <c r="B311" s="12" t="inlineStr">
        <is>
          <t>Breeze</t>
        </is>
      </c>
      <c r="C311" s="12" t="inlineStr">
        <is>
          <t>B</t>
        </is>
      </c>
      <c r="D311" s="12" t="inlineStr">
        <is>
          <t>def</t>
        </is>
      </c>
      <c r="E311" s="12" t="n">
        <v>6</v>
      </c>
      <c r="F311" s="12" t="n">
        <v>1</v>
      </c>
      <c r="G311" s="12" t="n">
        <v>5</v>
      </c>
      <c r="H311" s="12" t="n">
        <v>16.67</v>
      </c>
      <c r="I311" s="12" t="inlineStr">
        <is>
          <t>Stallions Esports_Breeze</t>
        </is>
      </c>
    </row>
    <row r="312">
      <c r="A312" s="8" t="inlineStr">
        <is>
          <t>Stallions Esports</t>
        </is>
      </c>
      <c r="B312" s="8" t="inlineStr">
        <is>
          <t>Corrode</t>
        </is>
      </c>
      <c r="C312" s="8" t="inlineStr">
        <is>
          <t>A</t>
        </is>
      </c>
      <c r="D312" s="8" t="inlineStr">
        <is>
          <t>atk</t>
        </is>
      </c>
      <c r="E312" s="8" t="n">
        <v>25</v>
      </c>
      <c r="F312" s="8" t="n">
        <v>22</v>
      </c>
      <c r="G312" s="8" t="n">
        <v>3</v>
      </c>
      <c r="H312" s="8" t="n">
        <v>88</v>
      </c>
      <c r="I312" s="8" t="inlineStr">
        <is>
          <t>Stallions Esports_Corrode</t>
        </is>
      </c>
    </row>
    <row r="313">
      <c r="A313" s="12" t="inlineStr">
        <is>
          <t>Stallions Esports</t>
        </is>
      </c>
      <c r="B313" s="12" t="inlineStr">
        <is>
          <t>Corrode</t>
        </is>
      </c>
      <c r="C313" s="12" t="inlineStr">
        <is>
          <t>A</t>
        </is>
      </c>
      <c r="D313" s="12" t="inlineStr">
        <is>
          <t>def</t>
        </is>
      </c>
      <c r="E313" s="12" t="n">
        <v>24</v>
      </c>
      <c r="F313" s="12" t="n">
        <v>8</v>
      </c>
      <c r="G313" s="12" t="n">
        <v>16</v>
      </c>
      <c r="H313" s="12" t="n">
        <v>33.33</v>
      </c>
      <c r="I313" s="12" t="inlineStr">
        <is>
          <t>Stallions Esports_Corrode</t>
        </is>
      </c>
    </row>
    <row r="314">
      <c r="A314" s="8" t="inlineStr">
        <is>
          <t>Stallions Esports</t>
        </is>
      </c>
      <c r="B314" s="8" t="inlineStr">
        <is>
          <t>Corrode</t>
        </is>
      </c>
      <c r="C314" s="8" t="inlineStr">
        <is>
          <t>B</t>
        </is>
      </c>
      <c r="D314" s="8" t="inlineStr">
        <is>
          <t>atk</t>
        </is>
      </c>
      <c r="E314" s="8" t="n">
        <v>24</v>
      </c>
      <c r="F314" s="8" t="n">
        <v>18</v>
      </c>
      <c r="G314" s="8" t="n">
        <v>6</v>
      </c>
      <c r="H314" s="8" t="n">
        <v>75</v>
      </c>
      <c r="I314" s="8" t="inlineStr">
        <is>
          <t>Stallions Esports_Corrode</t>
        </is>
      </c>
    </row>
    <row r="315">
      <c r="A315" s="12" t="inlineStr">
        <is>
          <t>Stallions Esports</t>
        </is>
      </c>
      <c r="B315" s="12" t="inlineStr">
        <is>
          <t>Corrode</t>
        </is>
      </c>
      <c r="C315" s="12" t="inlineStr">
        <is>
          <t>B</t>
        </is>
      </c>
      <c r="D315" s="12" t="inlineStr">
        <is>
          <t>def</t>
        </is>
      </c>
      <c r="E315" s="12" t="n">
        <v>27</v>
      </c>
      <c r="F315" s="12" t="n">
        <v>10</v>
      </c>
      <c r="G315" s="12" t="n">
        <v>17</v>
      </c>
      <c r="H315" s="12" t="n">
        <v>37.04</v>
      </c>
      <c r="I315" s="12" t="inlineStr">
        <is>
          <t>Stallions Esports_Corrode</t>
        </is>
      </c>
    </row>
    <row r="316">
      <c r="A316" s="8" t="inlineStr">
        <is>
          <t>Stallions Esports</t>
        </is>
      </c>
      <c r="B316" s="8" t="inlineStr">
        <is>
          <t>Split</t>
        </is>
      </c>
      <c r="C316" s="8" t="inlineStr">
        <is>
          <t>A</t>
        </is>
      </c>
      <c r="D316" s="8" t="inlineStr">
        <is>
          <t>def</t>
        </is>
      </c>
      <c r="E316" s="8" t="n">
        <v>21</v>
      </c>
      <c r="F316" s="8" t="n">
        <v>5</v>
      </c>
      <c r="G316" s="8" t="n">
        <v>16</v>
      </c>
      <c r="H316" s="8" t="n">
        <v>23.81</v>
      </c>
      <c r="I316" s="8" t="inlineStr">
        <is>
          <t>Stallions Esports_Split</t>
        </is>
      </c>
    </row>
    <row r="317">
      <c r="A317" s="12" t="inlineStr">
        <is>
          <t>Stallions Esports</t>
        </is>
      </c>
      <c r="B317" s="12" t="inlineStr">
        <is>
          <t>Split</t>
        </is>
      </c>
      <c r="C317" s="12" t="inlineStr">
        <is>
          <t>A</t>
        </is>
      </c>
      <c r="D317" s="12" t="inlineStr">
        <is>
          <t>atk</t>
        </is>
      </c>
      <c r="E317" s="12" t="n">
        <v>23</v>
      </c>
      <c r="F317" s="12" t="n">
        <v>16</v>
      </c>
      <c r="G317" s="12" t="n">
        <v>7</v>
      </c>
      <c r="H317" s="12" t="n">
        <v>69.56999999999999</v>
      </c>
      <c r="I317" s="12" t="inlineStr">
        <is>
          <t>Stallions Esports_Split</t>
        </is>
      </c>
    </row>
    <row r="318">
      <c r="A318" s="8" t="inlineStr">
        <is>
          <t>Stallions Esports</t>
        </is>
      </c>
      <c r="B318" s="8" t="inlineStr">
        <is>
          <t>Split</t>
        </is>
      </c>
      <c r="C318" s="8" t="inlineStr">
        <is>
          <t>B</t>
        </is>
      </c>
      <c r="D318" s="8" t="inlineStr">
        <is>
          <t>def</t>
        </is>
      </c>
      <c r="E318" s="8" t="n">
        <v>19</v>
      </c>
      <c r="F318" s="8" t="n">
        <v>3</v>
      </c>
      <c r="G318" s="8" t="n">
        <v>16</v>
      </c>
      <c r="H318" s="8" t="n">
        <v>15.79</v>
      </c>
      <c r="I318" s="8" t="inlineStr">
        <is>
          <t>Stallions Esports_Split</t>
        </is>
      </c>
    </row>
    <row r="319">
      <c r="A319" s="12" t="inlineStr">
        <is>
          <t>Stallions Esports</t>
        </is>
      </c>
      <c r="B319" s="12" t="inlineStr">
        <is>
          <t>Split</t>
        </is>
      </c>
      <c r="C319" s="12" t="inlineStr">
        <is>
          <t>B</t>
        </is>
      </c>
      <c r="D319" s="12" t="inlineStr">
        <is>
          <t>atk</t>
        </is>
      </c>
      <c r="E319" s="12" t="n">
        <v>31</v>
      </c>
      <c r="F319" s="12" t="n">
        <v>23</v>
      </c>
      <c r="G319" s="12" t="n">
        <v>8</v>
      </c>
      <c r="H319" s="12" t="n">
        <v>74.19</v>
      </c>
      <c r="I319" s="12" t="inlineStr">
        <is>
          <t>Stallions Esports_Split</t>
        </is>
      </c>
    </row>
    <row r="320">
      <c r="A320" s="8" t="inlineStr">
        <is>
          <t>Stallions Esports</t>
        </is>
      </c>
      <c r="B320" s="8" t="inlineStr">
        <is>
          <t>Sunset</t>
        </is>
      </c>
      <c r="C320" s="8" t="inlineStr">
        <is>
          <t>A</t>
        </is>
      </c>
      <c r="D320" s="8" t="inlineStr">
        <is>
          <t>atk</t>
        </is>
      </c>
      <c r="E320" s="8" t="n">
        <v>5</v>
      </c>
      <c r="F320" s="8" t="n">
        <v>5</v>
      </c>
      <c r="G320" s="8" t="n">
        <v>0</v>
      </c>
      <c r="H320" s="8" t="n">
        <v>100</v>
      </c>
      <c r="I320" s="8" t="inlineStr">
        <is>
          <t>Stallions Esports_Sunset</t>
        </is>
      </c>
    </row>
    <row r="321">
      <c r="A321" s="12" t="inlineStr">
        <is>
          <t>Stallions Esports</t>
        </is>
      </c>
      <c r="B321" s="12" t="inlineStr">
        <is>
          <t>Sunset</t>
        </is>
      </c>
      <c r="C321" s="12" t="inlineStr">
        <is>
          <t>B</t>
        </is>
      </c>
      <c r="D321" s="12" t="inlineStr">
        <is>
          <t>atk</t>
        </is>
      </c>
      <c r="E321" s="12" t="n">
        <v>5</v>
      </c>
      <c r="F321" s="12" t="n">
        <v>5</v>
      </c>
      <c r="G321" s="12" t="n">
        <v>0</v>
      </c>
      <c r="H321" s="12" t="n">
        <v>100</v>
      </c>
      <c r="I321" s="12" t="inlineStr">
        <is>
          <t>Stallions Esports_Sunset</t>
        </is>
      </c>
    </row>
    <row r="322">
      <c r="A322" s="8" t="inlineStr">
        <is>
          <t>Team Liquid Academy</t>
        </is>
      </c>
      <c r="B322" s="8" t="inlineStr">
        <is>
          <t>Abyss</t>
        </is>
      </c>
      <c r="C322" s="8" t="inlineStr">
        <is>
          <t>A</t>
        </is>
      </c>
      <c r="D322" s="8" t="inlineStr">
        <is>
          <t>def</t>
        </is>
      </c>
      <c r="E322" s="8" t="n">
        <v>3</v>
      </c>
      <c r="F322" s="8" t="n">
        <v>0</v>
      </c>
      <c r="G322" s="8" t="n">
        <v>3</v>
      </c>
      <c r="H322" s="8" t="n">
        <v>0</v>
      </c>
      <c r="I322" s="8" t="inlineStr">
        <is>
          <t>Team Liquid Academy_Abyss</t>
        </is>
      </c>
    </row>
    <row r="323">
      <c r="A323" s="12" t="inlineStr">
        <is>
          <t>Team Liquid Academy</t>
        </is>
      </c>
      <c r="B323" s="12" t="inlineStr">
        <is>
          <t>Abyss</t>
        </is>
      </c>
      <c r="C323" s="12" t="inlineStr">
        <is>
          <t>A</t>
        </is>
      </c>
      <c r="D323" s="12" t="inlineStr">
        <is>
          <t>atk</t>
        </is>
      </c>
      <c r="E323" s="12" t="n">
        <v>4</v>
      </c>
      <c r="F323" s="12" t="n">
        <v>3</v>
      </c>
      <c r="G323" s="12" t="n">
        <v>1</v>
      </c>
      <c r="H323" s="12" t="n">
        <v>75</v>
      </c>
      <c r="I323" s="12" t="inlineStr">
        <is>
          <t>Team Liquid Academy_Abyss</t>
        </is>
      </c>
    </row>
    <row r="324">
      <c r="A324" s="8" t="inlineStr">
        <is>
          <t>Team Liquid Academy</t>
        </is>
      </c>
      <c r="B324" s="8" t="inlineStr">
        <is>
          <t>Abyss</t>
        </is>
      </c>
      <c r="C324" s="8" t="inlineStr">
        <is>
          <t>B</t>
        </is>
      </c>
      <c r="D324" s="8" t="inlineStr">
        <is>
          <t>def</t>
        </is>
      </c>
      <c r="E324" s="8" t="n">
        <v>6</v>
      </c>
      <c r="F324" s="8" t="n">
        <v>1</v>
      </c>
      <c r="G324" s="8" t="n">
        <v>5</v>
      </c>
      <c r="H324" s="8" t="n">
        <v>16.67</v>
      </c>
      <c r="I324" s="8" t="inlineStr">
        <is>
          <t>Team Liquid Academy_Abyss</t>
        </is>
      </c>
    </row>
    <row r="325">
      <c r="A325" s="12" t="inlineStr">
        <is>
          <t>Team Liquid Academy</t>
        </is>
      </c>
      <c r="B325" s="12" t="inlineStr">
        <is>
          <t>Abyss</t>
        </is>
      </c>
      <c r="C325" s="12" t="inlineStr">
        <is>
          <t>B</t>
        </is>
      </c>
      <c r="D325" s="12" t="inlineStr">
        <is>
          <t>atk</t>
        </is>
      </c>
      <c r="E325" s="12" t="n">
        <v>4</v>
      </c>
      <c r="F325" s="12" t="n">
        <v>3</v>
      </c>
      <c r="G325" s="12" t="n">
        <v>1</v>
      </c>
      <c r="H325" s="12" t="n">
        <v>75</v>
      </c>
      <c r="I325" s="12" t="inlineStr">
        <is>
          <t>Team Liquid Academy_Abyss</t>
        </is>
      </c>
    </row>
    <row r="326">
      <c r="A326" s="8" t="inlineStr">
        <is>
          <t>Team Liquid Academy</t>
        </is>
      </c>
      <c r="B326" s="8" t="inlineStr">
        <is>
          <t>Bind</t>
        </is>
      </c>
      <c r="C326" s="8" t="inlineStr">
        <is>
          <t>A</t>
        </is>
      </c>
      <c r="D326" s="8" t="inlineStr">
        <is>
          <t>def</t>
        </is>
      </c>
      <c r="E326" s="8" t="n">
        <v>3</v>
      </c>
      <c r="F326" s="8" t="n">
        <v>2</v>
      </c>
      <c r="G326" s="8" t="n">
        <v>1</v>
      </c>
      <c r="H326" s="8" t="n">
        <v>66.67</v>
      </c>
      <c r="I326" s="8" t="inlineStr">
        <is>
          <t>Team Liquid Academy_Bind</t>
        </is>
      </c>
    </row>
    <row r="327">
      <c r="A327" s="12" t="inlineStr">
        <is>
          <t>Team Liquid Academy</t>
        </is>
      </c>
      <c r="B327" s="12" t="inlineStr">
        <is>
          <t>Bind</t>
        </is>
      </c>
      <c r="C327" s="12" t="inlineStr">
        <is>
          <t>A</t>
        </is>
      </c>
      <c r="D327" s="12" t="inlineStr">
        <is>
          <t>atk</t>
        </is>
      </c>
      <c r="E327" s="12" t="n">
        <v>3</v>
      </c>
      <c r="F327" s="12" t="n">
        <v>3</v>
      </c>
      <c r="G327" s="12" t="n">
        <v>0</v>
      </c>
      <c r="H327" s="12" t="n">
        <v>100</v>
      </c>
      <c r="I327" s="12" t="inlineStr">
        <is>
          <t>Team Liquid Academy_Bind</t>
        </is>
      </c>
    </row>
    <row r="328">
      <c r="A328" s="8" t="inlineStr">
        <is>
          <t>Team Liquid Academy</t>
        </is>
      </c>
      <c r="B328" s="8" t="inlineStr">
        <is>
          <t>Bind</t>
        </is>
      </c>
      <c r="C328" s="8" t="inlineStr">
        <is>
          <t>B</t>
        </is>
      </c>
      <c r="D328" s="8" t="inlineStr">
        <is>
          <t>def</t>
        </is>
      </c>
      <c r="E328" s="8" t="n">
        <v>1</v>
      </c>
      <c r="F328" s="8" t="n">
        <v>0</v>
      </c>
      <c r="G328" s="8" t="n">
        <v>1</v>
      </c>
      <c r="H328" s="8" t="n">
        <v>0</v>
      </c>
      <c r="I328" s="8" t="inlineStr">
        <is>
          <t>Team Liquid Academy_Bind</t>
        </is>
      </c>
    </row>
    <row r="329">
      <c r="A329" s="12" t="inlineStr">
        <is>
          <t>Team Liquid Academy</t>
        </is>
      </c>
      <c r="B329" s="12" t="inlineStr">
        <is>
          <t>Bind</t>
        </is>
      </c>
      <c r="C329" s="12" t="inlineStr">
        <is>
          <t>B</t>
        </is>
      </c>
      <c r="D329" s="12" t="inlineStr">
        <is>
          <t>atk</t>
        </is>
      </c>
      <c r="E329" s="12" t="n">
        <v>1</v>
      </c>
      <c r="F329" s="12" t="n">
        <v>1</v>
      </c>
      <c r="G329" s="12" t="n">
        <v>0</v>
      </c>
      <c r="H329" s="12" t="n">
        <v>100</v>
      </c>
      <c r="I329" s="12" t="inlineStr">
        <is>
          <t>Team Liquid Academy_Bind</t>
        </is>
      </c>
    </row>
    <row r="330">
      <c r="A330" s="8" t="inlineStr">
        <is>
          <t>Team Liquid Academy</t>
        </is>
      </c>
      <c r="B330" s="8" t="inlineStr">
        <is>
          <t>Breeze</t>
        </is>
      </c>
      <c r="C330" s="8" t="inlineStr">
        <is>
          <t>A</t>
        </is>
      </c>
      <c r="D330" s="8" t="inlineStr">
        <is>
          <t>def</t>
        </is>
      </c>
      <c r="E330" s="8" t="n">
        <v>9</v>
      </c>
      <c r="F330" s="8" t="n">
        <v>3</v>
      </c>
      <c r="G330" s="8" t="n">
        <v>6</v>
      </c>
      <c r="H330" s="8" t="n">
        <v>33.33</v>
      </c>
      <c r="I330" s="8" t="inlineStr">
        <is>
          <t>Team Liquid Academy_Breeze</t>
        </is>
      </c>
    </row>
    <row r="331">
      <c r="A331" s="12" t="inlineStr">
        <is>
          <t>Team Liquid Academy</t>
        </is>
      </c>
      <c r="B331" s="12" t="inlineStr">
        <is>
          <t>Breeze</t>
        </is>
      </c>
      <c r="C331" s="12" t="inlineStr">
        <is>
          <t>A</t>
        </is>
      </c>
      <c r="D331" s="12" t="inlineStr">
        <is>
          <t>atk</t>
        </is>
      </c>
      <c r="E331" s="12" t="n">
        <v>6</v>
      </c>
      <c r="F331" s="12" t="n">
        <v>6</v>
      </c>
      <c r="G331" s="12" t="n">
        <v>0</v>
      </c>
      <c r="H331" s="12" t="n">
        <v>100</v>
      </c>
      <c r="I331" s="12" t="inlineStr">
        <is>
          <t>Team Liquid Academy_Breeze</t>
        </is>
      </c>
    </row>
    <row r="332">
      <c r="A332" s="8" t="inlineStr">
        <is>
          <t>Team Liquid Academy</t>
        </is>
      </c>
      <c r="B332" s="8" t="inlineStr">
        <is>
          <t>Breeze</t>
        </is>
      </c>
      <c r="C332" s="8" t="inlineStr">
        <is>
          <t>B</t>
        </is>
      </c>
      <c r="D332" s="8" t="inlineStr">
        <is>
          <t>def</t>
        </is>
      </c>
      <c r="E332" s="8" t="n">
        <v>12</v>
      </c>
      <c r="F332" s="8" t="n">
        <v>4</v>
      </c>
      <c r="G332" s="8" t="n">
        <v>8</v>
      </c>
      <c r="H332" s="8" t="n">
        <v>33.33</v>
      </c>
      <c r="I332" s="8" t="inlineStr">
        <is>
          <t>Team Liquid Academy_Breeze</t>
        </is>
      </c>
    </row>
    <row r="333">
      <c r="A333" s="12" t="inlineStr">
        <is>
          <t>Team Liquid Academy</t>
        </is>
      </c>
      <c r="B333" s="12" t="inlineStr">
        <is>
          <t>Breeze</t>
        </is>
      </c>
      <c r="C333" s="12" t="inlineStr">
        <is>
          <t>B</t>
        </is>
      </c>
      <c r="D333" s="12" t="inlineStr">
        <is>
          <t>atk</t>
        </is>
      </c>
      <c r="E333" s="12" t="n">
        <v>4</v>
      </c>
      <c r="F333" s="12" t="n">
        <v>3</v>
      </c>
      <c r="G333" s="12" t="n">
        <v>1</v>
      </c>
      <c r="H333" s="12" t="n">
        <v>75</v>
      </c>
      <c r="I333" s="12" t="inlineStr">
        <is>
          <t>Team Liquid Academy_Breeze</t>
        </is>
      </c>
    </row>
    <row r="334">
      <c r="A334" s="8" t="inlineStr">
        <is>
          <t>Team Liquid Academy</t>
        </is>
      </c>
      <c r="B334" s="8" t="inlineStr">
        <is>
          <t>Corrode</t>
        </is>
      </c>
      <c r="C334" s="8" t="inlineStr">
        <is>
          <t>A</t>
        </is>
      </c>
      <c r="D334" s="8" t="inlineStr">
        <is>
          <t>atk</t>
        </is>
      </c>
      <c r="E334" s="8" t="n">
        <v>33</v>
      </c>
      <c r="F334" s="8" t="n">
        <v>27</v>
      </c>
      <c r="G334" s="8" t="n">
        <v>6</v>
      </c>
      <c r="H334" s="8" t="n">
        <v>81.81999999999999</v>
      </c>
      <c r="I334" s="8" t="inlineStr">
        <is>
          <t>Team Liquid Academy_Corrode</t>
        </is>
      </c>
    </row>
    <row r="335">
      <c r="A335" s="12" t="inlineStr">
        <is>
          <t>Team Liquid Academy</t>
        </is>
      </c>
      <c r="B335" s="12" t="inlineStr">
        <is>
          <t>Corrode</t>
        </is>
      </c>
      <c r="C335" s="12" t="inlineStr">
        <is>
          <t>A</t>
        </is>
      </c>
      <c r="D335" s="12" t="inlineStr">
        <is>
          <t>def</t>
        </is>
      </c>
      <c r="E335" s="12" t="n">
        <v>48</v>
      </c>
      <c r="F335" s="12" t="n">
        <v>22</v>
      </c>
      <c r="G335" s="12" t="n">
        <v>26</v>
      </c>
      <c r="H335" s="12" t="n">
        <v>45.83</v>
      </c>
      <c r="I335" s="12" t="inlineStr">
        <is>
          <t>Team Liquid Academy_Corrode</t>
        </is>
      </c>
    </row>
    <row r="336">
      <c r="A336" s="8" t="inlineStr">
        <is>
          <t>Team Liquid Academy</t>
        </is>
      </c>
      <c r="B336" s="8" t="inlineStr">
        <is>
          <t>Corrode</t>
        </is>
      </c>
      <c r="C336" s="8" t="inlineStr">
        <is>
          <t>B</t>
        </is>
      </c>
      <c r="D336" s="8" t="inlineStr">
        <is>
          <t>atk</t>
        </is>
      </c>
      <c r="E336" s="8" t="n">
        <v>35</v>
      </c>
      <c r="F336" s="8" t="n">
        <v>29</v>
      </c>
      <c r="G336" s="8" t="n">
        <v>6</v>
      </c>
      <c r="H336" s="8" t="n">
        <v>82.86</v>
      </c>
      <c r="I336" s="8" t="inlineStr">
        <is>
          <t>Team Liquid Academy_Corrode</t>
        </is>
      </c>
    </row>
    <row r="337">
      <c r="A337" s="12" t="inlineStr">
        <is>
          <t>Team Liquid Academy</t>
        </is>
      </c>
      <c r="B337" s="12" t="inlineStr">
        <is>
          <t>Corrode</t>
        </is>
      </c>
      <c r="C337" s="12" t="inlineStr">
        <is>
          <t>B</t>
        </is>
      </c>
      <c r="D337" s="12" t="inlineStr">
        <is>
          <t>def</t>
        </is>
      </c>
      <c r="E337" s="12" t="n">
        <v>38</v>
      </c>
      <c r="F337" s="12" t="n">
        <v>15</v>
      </c>
      <c r="G337" s="12" t="n">
        <v>23</v>
      </c>
      <c r="H337" s="12" t="n">
        <v>39.47</v>
      </c>
      <c r="I337" s="12" t="inlineStr">
        <is>
          <t>Team Liquid Academy_Corrode</t>
        </is>
      </c>
    </row>
    <row r="338">
      <c r="A338" s="8" t="inlineStr">
        <is>
          <t>Team Liquid Academy</t>
        </is>
      </c>
      <c r="B338" s="8" t="inlineStr">
        <is>
          <t>Haven</t>
        </is>
      </c>
      <c r="C338" s="8" t="inlineStr">
        <is>
          <t>A</t>
        </is>
      </c>
      <c r="D338" s="8" t="inlineStr">
        <is>
          <t>def</t>
        </is>
      </c>
      <c r="E338" s="8" t="n">
        <v>9</v>
      </c>
      <c r="F338" s="8" t="n">
        <v>4</v>
      </c>
      <c r="G338" s="8" t="n">
        <v>5</v>
      </c>
      <c r="H338" s="8" t="n">
        <v>44.44</v>
      </c>
      <c r="I338" s="8" t="inlineStr">
        <is>
          <t>Team Liquid Academy_Haven</t>
        </is>
      </c>
    </row>
    <row r="339">
      <c r="A339" s="12" t="inlineStr">
        <is>
          <t>Team Liquid Academy</t>
        </is>
      </c>
      <c r="B339" s="12" t="inlineStr">
        <is>
          <t>Haven</t>
        </is>
      </c>
      <c r="C339" s="12" t="inlineStr">
        <is>
          <t>A</t>
        </is>
      </c>
      <c r="D339" s="12" t="inlineStr">
        <is>
          <t>atk</t>
        </is>
      </c>
      <c r="E339" s="12" t="n">
        <v>10</v>
      </c>
      <c r="F339" s="12" t="n">
        <v>8</v>
      </c>
      <c r="G339" s="12" t="n">
        <v>2</v>
      </c>
      <c r="H339" s="12" t="n">
        <v>80</v>
      </c>
      <c r="I339" s="12" t="inlineStr">
        <is>
          <t>Team Liquid Academy_Haven</t>
        </is>
      </c>
    </row>
    <row r="340">
      <c r="A340" s="8" t="inlineStr">
        <is>
          <t>Team Liquid Academy</t>
        </is>
      </c>
      <c r="B340" s="8" t="inlineStr">
        <is>
          <t>Haven</t>
        </is>
      </c>
      <c r="C340" s="8" t="inlineStr">
        <is>
          <t>B</t>
        </is>
      </c>
      <c r="D340" s="8" t="inlineStr">
        <is>
          <t>def</t>
        </is>
      </c>
      <c r="E340" s="8" t="n">
        <v>9</v>
      </c>
      <c r="F340" s="8" t="n">
        <v>5</v>
      </c>
      <c r="G340" s="8" t="n">
        <v>4</v>
      </c>
      <c r="H340" s="8" t="n">
        <v>55.56</v>
      </c>
      <c r="I340" s="8" t="inlineStr">
        <is>
          <t>Team Liquid Academy_Haven</t>
        </is>
      </c>
    </row>
    <row r="341">
      <c r="A341" s="12" t="inlineStr">
        <is>
          <t>Team Liquid Academy</t>
        </is>
      </c>
      <c r="B341" s="12" t="inlineStr">
        <is>
          <t>Haven</t>
        </is>
      </c>
      <c r="C341" s="12" t="inlineStr">
        <is>
          <t>B</t>
        </is>
      </c>
      <c r="D341" s="12" t="inlineStr">
        <is>
          <t>atk</t>
        </is>
      </c>
      <c r="E341" s="12" t="n">
        <v>3</v>
      </c>
      <c r="F341" s="12" t="n">
        <v>2</v>
      </c>
      <c r="G341" s="12" t="n">
        <v>1</v>
      </c>
      <c r="H341" s="12" t="n">
        <v>66.67</v>
      </c>
      <c r="I341" s="12" t="inlineStr">
        <is>
          <t>Team Liquid Academy_Haven</t>
        </is>
      </c>
    </row>
    <row r="342">
      <c r="A342" s="8" t="inlineStr">
        <is>
          <t>Team Liquid Academy</t>
        </is>
      </c>
      <c r="B342" s="8" t="inlineStr">
        <is>
          <t>Haven</t>
        </is>
      </c>
      <c r="C342" s="8" t="inlineStr">
        <is>
          <t>C</t>
        </is>
      </c>
      <c r="D342" s="8" t="inlineStr">
        <is>
          <t>def</t>
        </is>
      </c>
      <c r="E342" s="8" t="n">
        <v>14</v>
      </c>
      <c r="F342" s="8" t="n">
        <v>8</v>
      </c>
      <c r="G342" s="8" t="n">
        <v>6</v>
      </c>
      <c r="H342" s="8" t="n">
        <v>57.14</v>
      </c>
      <c r="I342" s="8" t="inlineStr">
        <is>
          <t>Team Liquid Academy_Haven</t>
        </is>
      </c>
    </row>
    <row r="343">
      <c r="A343" s="12" t="inlineStr">
        <is>
          <t>Team Liquid Academy</t>
        </is>
      </c>
      <c r="B343" s="12" t="inlineStr">
        <is>
          <t>Haven</t>
        </is>
      </c>
      <c r="C343" s="12" t="inlineStr">
        <is>
          <t>C</t>
        </is>
      </c>
      <c r="D343" s="12" t="inlineStr">
        <is>
          <t>atk</t>
        </is>
      </c>
      <c r="E343" s="12" t="n">
        <v>9</v>
      </c>
      <c r="F343" s="12" t="n">
        <v>8</v>
      </c>
      <c r="G343" s="12" t="n">
        <v>1</v>
      </c>
      <c r="H343" s="12" t="n">
        <v>88.89</v>
      </c>
      <c r="I343" s="12" t="inlineStr">
        <is>
          <t>Team Liquid Academy_Haven</t>
        </is>
      </c>
    </row>
    <row r="344">
      <c r="A344" s="8" t="inlineStr">
        <is>
          <t>Team Liquid Academy</t>
        </is>
      </c>
      <c r="B344" s="8" t="inlineStr">
        <is>
          <t>Pearl</t>
        </is>
      </c>
      <c r="C344" s="8" t="inlineStr">
        <is>
          <t>A</t>
        </is>
      </c>
      <c r="D344" s="8" t="inlineStr">
        <is>
          <t>atk</t>
        </is>
      </c>
      <c r="E344" s="8" t="n">
        <v>25</v>
      </c>
      <c r="F344" s="8" t="n">
        <v>19</v>
      </c>
      <c r="G344" s="8" t="n">
        <v>6</v>
      </c>
      <c r="H344" s="8" t="n">
        <v>76</v>
      </c>
      <c r="I344" s="8" t="inlineStr">
        <is>
          <t>Team Liquid Academy_Pearl</t>
        </is>
      </c>
    </row>
    <row r="345">
      <c r="A345" s="12" t="inlineStr">
        <is>
          <t>Team Liquid Academy</t>
        </is>
      </c>
      <c r="B345" s="12" t="inlineStr">
        <is>
          <t>Pearl</t>
        </is>
      </c>
      <c r="C345" s="12" t="inlineStr">
        <is>
          <t>A</t>
        </is>
      </c>
      <c r="D345" s="12" t="inlineStr">
        <is>
          <t>def</t>
        </is>
      </c>
      <c r="E345" s="12" t="n">
        <v>33</v>
      </c>
      <c r="F345" s="12" t="n">
        <v>11</v>
      </c>
      <c r="G345" s="12" t="n">
        <v>22</v>
      </c>
      <c r="H345" s="12" t="n">
        <v>33.33</v>
      </c>
      <c r="I345" s="12" t="inlineStr">
        <is>
          <t>Team Liquid Academy_Pearl</t>
        </is>
      </c>
    </row>
    <row r="346">
      <c r="A346" s="8" t="inlineStr">
        <is>
          <t>Team Liquid Academy</t>
        </is>
      </c>
      <c r="B346" s="8" t="inlineStr">
        <is>
          <t>Pearl</t>
        </is>
      </c>
      <c r="C346" s="8" t="inlineStr">
        <is>
          <t>B</t>
        </is>
      </c>
      <c r="D346" s="8" t="inlineStr">
        <is>
          <t>atk</t>
        </is>
      </c>
      <c r="E346" s="8" t="n">
        <v>34</v>
      </c>
      <c r="F346" s="8" t="n">
        <v>31</v>
      </c>
      <c r="G346" s="8" t="n">
        <v>3</v>
      </c>
      <c r="H346" s="8" t="n">
        <v>91.18000000000001</v>
      </c>
      <c r="I346" s="8" t="inlineStr">
        <is>
          <t>Team Liquid Academy_Pearl</t>
        </is>
      </c>
    </row>
    <row r="347">
      <c r="A347" s="12" t="inlineStr">
        <is>
          <t>Team Liquid Academy</t>
        </is>
      </c>
      <c r="B347" s="12" t="inlineStr">
        <is>
          <t>Pearl</t>
        </is>
      </c>
      <c r="C347" s="12" t="inlineStr">
        <is>
          <t>B</t>
        </is>
      </c>
      <c r="D347" s="12" t="inlineStr">
        <is>
          <t>def</t>
        </is>
      </c>
      <c r="E347" s="12" t="n">
        <v>38</v>
      </c>
      <c r="F347" s="12" t="n">
        <v>16</v>
      </c>
      <c r="G347" s="12" t="n">
        <v>22</v>
      </c>
      <c r="H347" s="12" t="n">
        <v>42.11</v>
      </c>
      <c r="I347" s="12" t="inlineStr">
        <is>
          <t>Team Liquid Academy_Pearl</t>
        </is>
      </c>
    </row>
    <row r="348">
      <c r="A348" s="8" t="inlineStr">
        <is>
          <t>Team Liquid Academy</t>
        </is>
      </c>
      <c r="B348" s="8" t="inlineStr">
        <is>
          <t>Split</t>
        </is>
      </c>
      <c r="C348" s="8" t="inlineStr">
        <is>
          <t>A</t>
        </is>
      </c>
      <c r="D348" s="8" t="inlineStr">
        <is>
          <t>atk</t>
        </is>
      </c>
      <c r="E348" s="8" t="n">
        <v>11</v>
      </c>
      <c r="F348" s="8" t="n">
        <v>9</v>
      </c>
      <c r="G348" s="8" t="n">
        <v>2</v>
      </c>
      <c r="H348" s="8" t="n">
        <v>81.81999999999999</v>
      </c>
      <c r="I348" s="8" t="inlineStr">
        <is>
          <t>Team Liquid Academy_Split</t>
        </is>
      </c>
    </row>
    <row r="349">
      <c r="A349" s="12" t="inlineStr">
        <is>
          <t>Team Liquid Academy</t>
        </is>
      </c>
      <c r="B349" s="12" t="inlineStr">
        <is>
          <t>Split</t>
        </is>
      </c>
      <c r="C349" s="12" t="inlineStr">
        <is>
          <t>A</t>
        </is>
      </c>
      <c r="D349" s="12" t="inlineStr">
        <is>
          <t>def</t>
        </is>
      </c>
      <c r="E349" s="12" t="n">
        <v>11</v>
      </c>
      <c r="F349" s="12" t="n">
        <v>5</v>
      </c>
      <c r="G349" s="12" t="n">
        <v>6</v>
      </c>
      <c r="H349" s="12" t="n">
        <v>45.45</v>
      </c>
      <c r="I349" s="12" t="inlineStr">
        <is>
          <t>Team Liquid Academy_Split</t>
        </is>
      </c>
    </row>
    <row r="350">
      <c r="A350" s="8" t="inlineStr">
        <is>
          <t>Team Liquid Academy</t>
        </is>
      </c>
      <c r="B350" s="8" t="inlineStr">
        <is>
          <t>Split</t>
        </is>
      </c>
      <c r="C350" s="8" t="inlineStr">
        <is>
          <t>B</t>
        </is>
      </c>
      <c r="D350" s="8" t="inlineStr">
        <is>
          <t>atk</t>
        </is>
      </c>
      <c r="E350" s="8" t="n">
        <v>9</v>
      </c>
      <c r="F350" s="8" t="n">
        <v>6</v>
      </c>
      <c r="G350" s="8" t="n">
        <v>3</v>
      </c>
      <c r="H350" s="8" t="n">
        <v>66.67</v>
      </c>
      <c r="I350" s="8" t="inlineStr">
        <is>
          <t>Team Liquid Academy_Split</t>
        </is>
      </c>
    </row>
    <row r="351">
      <c r="A351" s="12" t="inlineStr">
        <is>
          <t>Team Liquid Academy</t>
        </is>
      </c>
      <c r="B351" s="12" t="inlineStr">
        <is>
          <t>Split</t>
        </is>
      </c>
      <c r="C351" s="12" t="inlineStr">
        <is>
          <t>B</t>
        </is>
      </c>
      <c r="D351" s="12" t="inlineStr">
        <is>
          <t>def</t>
        </is>
      </c>
      <c r="E351" s="12" t="n">
        <v>17</v>
      </c>
      <c r="F351" s="12" t="n">
        <v>8</v>
      </c>
      <c r="G351" s="12" t="n">
        <v>9</v>
      </c>
      <c r="H351" s="12" t="n">
        <v>47.06</v>
      </c>
      <c r="I351" s="12" t="inlineStr">
        <is>
          <t>Team Liquid Academy_Split</t>
        </is>
      </c>
    </row>
    <row r="352">
      <c r="A352" s="8" t="inlineStr">
        <is>
          <t>UCAM Esports</t>
        </is>
      </c>
      <c r="B352" s="8" t="inlineStr">
        <is>
          <t>Abyss</t>
        </is>
      </c>
      <c r="C352" s="8" t="inlineStr">
        <is>
          <t>A</t>
        </is>
      </c>
      <c r="D352" s="8" t="inlineStr">
        <is>
          <t>def</t>
        </is>
      </c>
      <c r="E352" s="8" t="n">
        <v>11</v>
      </c>
      <c r="F352" s="8" t="n">
        <v>4</v>
      </c>
      <c r="G352" s="8" t="n">
        <v>7</v>
      </c>
      <c r="H352" s="8" t="n">
        <v>36.36</v>
      </c>
      <c r="I352" s="8" t="inlineStr">
        <is>
          <t>UCAM Esports_Abyss</t>
        </is>
      </c>
    </row>
    <row r="353">
      <c r="A353" s="12" t="inlineStr">
        <is>
          <t>UCAM Esports</t>
        </is>
      </c>
      <c r="B353" s="12" t="inlineStr">
        <is>
          <t>Abyss</t>
        </is>
      </c>
      <c r="C353" s="12" t="inlineStr">
        <is>
          <t>A</t>
        </is>
      </c>
      <c r="D353" s="12" t="inlineStr">
        <is>
          <t>atk</t>
        </is>
      </c>
      <c r="E353" s="12" t="n">
        <v>3</v>
      </c>
      <c r="F353" s="12" t="n">
        <v>1</v>
      </c>
      <c r="G353" s="12" t="n">
        <v>2</v>
      </c>
      <c r="H353" s="12" t="n">
        <v>33.33</v>
      </c>
      <c r="I353" s="12" t="inlineStr">
        <is>
          <t>UCAM Esports_Abyss</t>
        </is>
      </c>
    </row>
    <row r="354">
      <c r="A354" s="8" t="inlineStr">
        <is>
          <t>UCAM Esports</t>
        </is>
      </c>
      <c r="B354" s="8" t="inlineStr">
        <is>
          <t>Abyss</t>
        </is>
      </c>
      <c r="C354" s="8" t="inlineStr">
        <is>
          <t>B</t>
        </is>
      </c>
      <c r="D354" s="8" t="inlineStr">
        <is>
          <t>def</t>
        </is>
      </c>
      <c r="E354" s="8" t="n">
        <v>11</v>
      </c>
      <c r="F354" s="8" t="n">
        <v>5</v>
      </c>
      <c r="G354" s="8" t="n">
        <v>6</v>
      </c>
      <c r="H354" s="8" t="n">
        <v>45.45</v>
      </c>
      <c r="I354" s="8" t="inlineStr">
        <is>
          <t>UCAM Esports_Abyss</t>
        </is>
      </c>
    </row>
    <row r="355">
      <c r="A355" s="12" t="inlineStr">
        <is>
          <t>UCAM Esports</t>
        </is>
      </c>
      <c r="B355" s="12" t="inlineStr">
        <is>
          <t>Abyss</t>
        </is>
      </c>
      <c r="C355" s="12" t="inlineStr">
        <is>
          <t>B</t>
        </is>
      </c>
      <c r="D355" s="12" t="inlineStr">
        <is>
          <t>atk</t>
        </is>
      </c>
      <c r="E355" s="12" t="n">
        <v>10</v>
      </c>
      <c r="F355" s="12" t="n">
        <v>6</v>
      </c>
      <c r="G355" s="12" t="n">
        <v>4</v>
      </c>
      <c r="H355" s="12" t="n">
        <v>60</v>
      </c>
      <c r="I355" s="12" t="inlineStr">
        <is>
          <t>UCAM Esports_Abyss</t>
        </is>
      </c>
    </row>
    <row r="356">
      <c r="A356" s="8" t="inlineStr">
        <is>
          <t>UCAM Esports</t>
        </is>
      </c>
      <c r="B356" s="8" t="inlineStr">
        <is>
          <t>Bind</t>
        </is>
      </c>
      <c r="C356" s="8" t="inlineStr">
        <is>
          <t>A</t>
        </is>
      </c>
      <c r="D356" s="8" t="inlineStr">
        <is>
          <t>def</t>
        </is>
      </c>
      <c r="E356" s="8" t="n">
        <v>53</v>
      </c>
      <c r="F356" s="8" t="n">
        <v>9</v>
      </c>
      <c r="G356" s="8" t="n">
        <v>44</v>
      </c>
      <c r="H356" s="8" t="n">
        <v>16.98</v>
      </c>
      <c r="I356" s="8" t="inlineStr">
        <is>
          <t>UCAM Esports_Bind</t>
        </is>
      </c>
    </row>
    <row r="357">
      <c r="A357" s="12" t="inlineStr">
        <is>
          <t>UCAM Esports</t>
        </is>
      </c>
      <c r="B357" s="12" t="inlineStr">
        <is>
          <t>Bind</t>
        </is>
      </c>
      <c r="C357" s="12" t="inlineStr">
        <is>
          <t>A</t>
        </is>
      </c>
      <c r="D357" s="12" t="inlineStr">
        <is>
          <t>atk</t>
        </is>
      </c>
      <c r="E357" s="12" t="n">
        <v>47</v>
      </c>
      <c r="F357" s="12" t="n">
        <v>32</v>
      </c>
      <c r="G357" s="12" t="n">
        <v>15</v>
      </c>
      <c r="H357" s="12" t="n">
        <v>68.09</v>
      </c>
      <c r="I357" s="12" t="inlineStr">
        <is>
          <t>UCAM Esports_Bind</t>
        </is>
      </c>
    </row>
    <row r="358">
      <c r="A358" s="8" t="inlineStr">
        <is>
          <t>UCAM Esports</t>
        </is>
      </c>
      <c r="B358" s="8" t="inlineStr">
        <is>
          <t>Bind</t>
        </is>
      </c>
      <c r="C358" s="8" t="inlineStr">
        <is>
          <t>B</t>
        </is>
      </c>
      <c r="D358" s="8" t="inlineStr">
        <is>
          <t>def</t>
        </is>
      </c>
      <c r="E358" s="8" t="n">
        <v>30</v>
      </c>
      <c r="F358" s="8" t="n">
        <v>8</v>
      </c>
      <c r="G358" s="8" t="n">
        <v>22</v>
      </c>
      <c r="H358" s="8" t="n">
        <v>26.67</v>
      </c>
      <c r="I358" s="8" t="inlineStr">
        <is>
          <t>UCAM Esports_Bind</t>
        </is>
      </c>
    </row>
    <row r="359">
      <c r="A359" s="12" t="inlineStr">
        <is>
          <t>UCAM Esports</t>
        </is>
      </c>
      <c r="B359" s="12" t="inlineStr">
        <is>
          <t>Bind</t>
        </is>
      </c>
      <c r="C359" s="12" t="inlineStr">
        <is>
          <t>B</t>
        </is>
      </c>
      <c r="D359" s="12" t="inlineStr">
        <is>
          <t>atk</t>
        </is>
      </c>
      <c r="E359" s="12" t="n">
        <v>43</v>
      </c>
      <c r="F359" s="12" t="n">
        <v>28</v>
      </c>
      <c r="G359" s="12" t="n">
        <v>15</v>
      </c>
      <c r="H359" s="12" t="n">
        <v>65.12</v>
      </c>
      <c r="I359" s="12" t="inlineStr">
        <is>
          <t>UCAM Esports_Bind</t>
        </is>
      </c>
    </row>
    <row r="360">
      <c r="A360" s="8" t="inlineStr">
        <is>
          <t>UCAM Esports</t>
        </is>
      </c>
      <c r="B360" s="8" t="inlineStr">
        <is>
          <t>Breeze</t>
        </is>
      </c>
      <c r="C360" s="8" t="inlineStr">
        <is>
          <t>A</t>
        </is>
      </c>
      <c r="D360" s="8" t="inlineStr">
        <is>
          <t>atk</t>
        </is>
      </c>
      <c r="E360" s="8" t="n">
        <v>6</v>
      </c>
      <c r="F360" s="8" t="n">
        <v>3</v>
      </c>
      <c r="G360" s="8" t="n">
        <v>3</v>
      </c>
      <c r="H360" s="8" t="n">
        <v>50</v>
      </c>
      <c r="I360" s="8" t="inlineStr">
        <is>
          <t>UCAM Esports_Breeze</t>
        </is>
      </c>
    </row>
    <row r="361">
      <c r="A361" s="12" t="inlineStr">
        <is>
          <t>UCAM Esports</t>
        </is>
      </c>
      <c r="B361" s="12" t="inlineStr">
        <is>
          <t>Breeze</t>
        </is>
      </c>
      <c r="C361" s="12" t="inlineStr">
        <is>
          <t>A</t>
        </is>
      </c>
      <c r="D361" s="12" t="inlineStr">
        <is>
          <t>def</t>
        </is>
      </c>
      <c r="E361" s="12" t="n">
        <v>6</v>
      </c>
      <c r="F361" s="12" t="n">
        <v>1</v>
      </c>
      <c r="G361" s="12" t="n">
        <v>5</v>
      </c>
      <c r="H361" s="12" t="n">
        <v>16.67</v>
      </c>
      <c r="I361" s="12" t="inlineStr">
        <is>
          <t>UCAM Esports_Breeze</t>
        </is>
      </c>
    </row>
    <row r="362">
      <c r="A362" s="8" t="inlineStr">
        <is>
          <t>UCAM Esports</t>
        </is>
      </c>
      <c r="B362" s="8" t="inlineStr">
        <is>
          <t>Breeze</t>
        </is>
      </c>
      <c r="C362" s="8" t="inlineStr">
        <is>
          <t>B</t>
        </is>
      </c>
      <c r="D362" s="8" t="inlineStr">
        <is>
          <t>atk</t>
        </is>
      </c>
      <c r="E362" s="8" t="n">
        <v>5</v>
      </c>
      <c r="F362" s="8" t="n">
        <v>4</v>
      </c>
      <c r="G362" s="8" t="n">
        <v>1</v>
      </c>
      <c r="H362" s="8" t="n">
        <v>80</v>
      </c>
      <c r="I362" s="8" t="inlineStr">
        <is>
          <t>UCAM Esports_Breeze</t>
        </is>
      </c>
    </row>
    <row r="363">
      <c r="A363" s="12" t="inlineStr">
        <is>
          <t>UCAM Esports</t>
        </is>
      </c>
      <c r="B363" s="12" t="inlineStr">
        <is>
          <t>Breeze</t>
        </is>
      </c>
      <c r="C363" s="12" t="inlineStr">
        <is>
          <t>B</t>
        </is>
      </c>
      <c r="D363" s="12" t="inlineStr">
        <is>
          <t>def</t>
        </is>
      </c>
      <c r="E363" s="12" t="n">
        <v>7</v>
      </c>
      <c r="F363" s="12" t="n">
        <v>3</v>
      </c>
      <c r="G363" s="12" t="n">
        <v>4</v>
      </c>
      <c r="H363" s="12" t="n">
        <v>42.86</v>
      </c>
      <c r="I363" s="12" t="inlineStr">
        <is>
          <t>UCAM Esports_Breeze</t>
        </is>
      </c>
    </row>
    <row r="364">
      <c r="A364" s="8" t="inlineStr">
        <is>
          <t>UCAM Esports</t>
        </is>
      </c>
      <c r="B364" s="8" t="inlineStr">
        <is>
          <t>Corrode</t>
        </is>
      </c>
      <c r="C364" s="8" t="inlineStr">
        <is>
          <t>A</t>
        </is>
      </c>
      <c r="D364" s="8" t="inlineStr">
        <is>
          <t>atk</t>
        </is>
      </c>
      <c r="E364" s="8" t="n">
        <v>56</v>
      </c>
      <c r="F364" s="8" t="n">
        <v>46</v>
      </c>
      <c r="G364" s="8" t="n">
        <v>10</v>
      </c>
      <c r="H364" s="8" t="n">
        <v>82.14</v>
      </c>
      <c r="I364" s="8" t="inlineStr">
        <is>
          <t>UCAM Esports_Corrode</t>
        </is>
      </c>
    </row>
    <row r="365">
      <c r="A365" s="12" t="inlineStr">
        <is>
          <t>UCAM Esports</t>
        </is>
      </c>
      <c r="B365" s="12" t="inlineStr">
        <is>
          <t>Corrode</t>
        </is>
      </c>
      <c r="C365" s="12" t="inlineStr">
        <is>
          <t>A</t>
        </is>
      </c>
      <c r="D365" s="12" t="inlineStr">
        <is>
          <t>def</t>
        </is>
      </c>
      <c r="E365" s="12" t="n">
        <v>46</v>
      </c>
      <c r="F365" s="12" t="n">
        <v>20</v>
      </c>
      <c r="G365" s="12" t="n">
        <v>26</v>
      </c>
      <c r="H365" s="12" t="n">
        <v>43.48</v>
      </c>
      <c r="I365" s="12" t="inlineStr">
        <is>
          <t>UCAM Esports_Corrode</t>
        </is>
      </c>
    </row>
    <row r="366">
      <c r="A366" s="8" t="inlineStr">
        <is>
          <t>UCAM Esports</t>
        </is>
      </c>
      <c r="B366" s="8" t="inlineStr">
        <is>
          <t>Corrode</t>
        </is>
      </c>
      <c r="C366" s="8" t="inlineStr">
        <is>
          <t>B</t>
        </is>
      </c>
      <c r="D366" s="8" t="inlineStr">
        <is>
          <t>atk</t>
        </is>
      </c>
      <c r="E366" s="8" t="n">
        <v>32</v>
      </c>
      <c r="F366" s="8" t="n">
        <v>23</v>
      </c>
      <c r="G366" s="8" t="n">
        <v>9</v>
      </c>
      <c r="H366" s="8" t="n">
        <v>71.88</v>
      </c>
      <c r="I366" s="8" t="inlineStr">
        <is>
          <t>UCAM Esports_Corrode</t>
        </is>
      </c>
    </row>
    <row r="367">
      <c r="A367" s="12" t="inlineStr">
        <is>
          <t>UCAM Esports</t>
        </is>
      </c>
      <c r="B367" s="12" t="inlineStr">
        <is>
          <t>Corrode</t>
        </is>
      </c>
      <c r="C367" s="12" t="inlineStr">
        <is>
          <t>B</t>
        </is>
      </c>
      <c r="D367" s="12" t="inlineStr">
        <is>
          <t>def</t>
        </is>
      </c>
      <c r="E367" s="12" t="n">
        <v>30</v>
      </c>
      <c r="F367" s="12" t="n">
        <v>12</v>
      </c>
      <c r="G367" s="12" t="n">
        <v>18</v>
      </c>
      <c r="H367" s="12" t="n">
        <v>40</v>
      </c>
      <c r="I367" s="12" t="inlineStr">
        <is>
          <t>UCAM Esports_Corrode</t>
        </is>
      </c>
    </row>
    <row r="368">
      <c r="A368" s="8" t="inlineStr">
        <is>
          <t>UCAM Esports</t>
        </is>
      </c>
      <c r="B368" s="8" t="inlineStr">
        <is>
          <t>Haven</t>
        </is>
      </c>
      <c r="C368" s="8" t="inlineStr">
        <is>
          <t>A</t>
        </is>
      </c>
      <c r="D368" s="8" t="inlineStr">
        <is>
          <t>def</t>
        </is>
      </c>
      <c r="E368" s="8" t="n">
        <v>29</v>
      </c>
      <c r="F368" s="8" t="n">
        <v>10</v>
      </c>
      <c r="G368" s="8" t="n">
        <v>19</v>
      </c>
      <c r="H368" s="8" t="n">
        <v>34.48</v>
      </c>
      <c r="I368" s="8" t="inlineStr">
        <is>
          <t>UCAM Esports_Haven</t>
        </is>
      </c>
    </row>
    <row r="369">
      <c r="A369" s="12" t="inlineStr">
        <is>
          <t>UCAM Esports</t>
        </is>
      </c>
      <c r="B369" s="12" t="inlineStr">
        <is>
          <t>Haven</t>
        </is>
      </c>
      <c r="C369" s="12" t="inlineStr">
        <is>
          <t>A</t>
        </is>
      </c>
      <c r="D369" s="12" t="inlineStr">
        <is>
          <t>atk</t>
        </is>
      </c>
      <c r="E369" s="12" t="n">
        <v>26</v>
      </c>
      <c r="F369" s="12" t="n">
        <v>21</v>
      </c>
      <c r="G369" s="12" t="n">
        <v>5</v>
      </c>
      <c r="H369" s="12" t="n">
        <v>80.77</v>
      </c>
      <c r="I369" s="12" t="inlineStr">
        <is>
          <t>UCAM Esports_Haven</t>
        </is>
      </c>
    </row>
    <row r="370">
      <c r="A370" s="8" t="inlineStr">
        <is>
          <t>UCAM Esports</t>
        </is>
      </c>
      <c r="B370" s="8" t="inlineStr">
        <is>
          <t>Haven</t>
        </is>
      </c>
      <c r="C370" s="8" t="inlineStr">
        <is>
          <t>B</t>
        </is>
      </c>
      <c r="D370" s="8" t="inlineStr">
        <is>
          <t>def</t>
        </is>
      </c>
      <c r="E370" s="8" t="n">
        <v>17</v>
      </c>
      <c r="F370" s="8" t="n">
        <v>12</v>
      </c>
      <c r="G370" s="8" t="n">
        <v>5</v>
      </c>
      <c r="H370" s="8" t="n">
        <v>70.59</v>
      </c>
      <c r="I370" s="8" t="inlineStr">
        <is>
          <t>UCAM Esports_Haven</t>
        </is>
      </c>
    </row>
    <row r="371">
      <c r="A371" s="12" t="inlineStr">
        <is>
          <t>UCAM Esports</t>
        </is>
      </c>
      <c r="B371" s="12" t="inlineStr">
        <is>
          <t>Haven</t>
        </is>
      </c>
      <c r="C371" s="12" t="inlineStr">
        <is>
          <t>B</t>
        </is>
      </c>
      <c r="D371" s="12" t="inlineStr">
        <is>
          <t>atk</t>
        </is>
      </c>
      <c r="E371" s="12" t="n">
        <v>26</v>
      </c>
      <c r="F371" s="12" t="n">
        <v>15</v>
      </c>
      <c r="G371" s="12" t="n">
        <v>11</v>
      </c>
      <c r="H371" s="12" t="n">
        <v>57.69</v>
      </c>
      <c r="I371" s="12" t="inlineStr">
        <is>
          <t>UCAM Esports_Haven</t>
        </is>
      </c>
    </row>
    <row r="372">
      <c r="A372" s="8" t="inlineStr">
        <is>
          <t>UCAM Esports</t>
        </is>
      </c>
      <c r="B372" s="8" t="inlineStr">
        <is>
          <t>Haven</t>
        </is>
      </c>
      <c r="C372" s="8" t="inlineStr">
        <is>
          <t>C</t>
        </is>
      </c>
      <c r="D372" s="8" t="inlineStr">
        <is>
          <t>def</t>
        </is>
      </c>
      <c r="E372" s="8" t="n">
        <v>30</v>
      </c>
      <c r="F372" s="8" t="n">
        <v>11</v>
      </c>
      <c r="G372" s="8" t="n">
        <v>19</v>
      </c>
      <c r="H372" s="8" t="n">
        <v>36.67</v>
      </c>
      <c r="I372" s="8" t="inlineStr">
        <is>
          <t>UCAM Esports_Haven</t>
        </is>
      </c>
    </row>
    <row r="373">
      <c r="A373" s="12" t="inlineStr">
        <is>
          <t>UCAM Esports</t>
        </is>
      </c>
      <c r="B373" s="12" t="inlineStr">
        <is>
          <t>Haven</t>
        </is>
      </c>
      <c r="C373" s="12" t="inlineStr">
        <is>
          <t>C</t>
        </is>
      </c>
      <c r="D373" s="12" t="inlineStr">
        <is>
          <t>atk</t>
        </is>
      </c>
      <c r="E373" s="12" t="n">
        <v>27</v>
      </c>
      <c r="F373" s="12" t="n">
        <v>24</v>
      </c>
      <c r="G373" s="12" t="n">
        <v>3</v>
      </c>
      <c r="H373" s="12" t="n">
        <v>88.89</v>
      </c>
      <c r="I373" s="12" t="inlineStr">
        <is>
          <t>UCAM Esports_Haven</t>
        </is>
      </c>
    </row>
    <row r="374">
      <c r="A374" s="8" t="inlineStr">
        <is>
          <t>UCAM Esports</t>
        </is>
      </c>
      <c r="B374" s="8" t="inlineStr">
        <is>
          <t>Pearl</t>
        </is>
      </c>
      <c r="C374" s="8" t="inlineStr">
        <is>
          <t>A</t>
        </is>
      </c>
      <c r="D374" s="8" t="inlineStr">
        <is>
          <t>def</t>
        </is>
      </c>
      <c r="E374" s="8" t="n">
        <v>7</v>
      </c>
      <c r="F374" s="8" t="n">
        <v>4</v>
      </c>
      <c r="G374" s="8" t="n">
        <v>3</v>
      </c>
      <c r="H374" s="8" t="n">
        <v>57.14</v>
      </c>
      <c r="I374" s="8" t="inlineStr">
        <is>
          <t>UCAM Esports_Pearl</t>
        </is>
      </c>
    </row>
    <row r="375">
      <c r="A375" s="12" t="inlineStr">
        <is>
          <t>UCAM Esports</t>
        </is>
      </c>
      <c r="B375" s="12" t="inlineStr">
        <is>
          <t>Pearl</t>
        </is>
      </c>
      <c r="C375" s="12" t="inlineStr">
        <is>
          <t>A</t>
        </is>
      </c>
      <c r="D375" s="12" t="inlineStr">
        <is>
          <t>atk</t>
        </is>
      </c>
      <c r="E375" s="12" t="n">
        <v>14</v>
      </c>
      <c r="F375" s="12" t="n">
        <v>8</v>
      </c>
      <c r="G375" s="12" t="n">
        <v>6</v>
      </c>
      <c r="H375" s="12" t="n">
        <v>57.14</v>
      </c>
      <c r="I375" s="12" t="inlineStr">
        <is>
          <t>UCAM Esports_Pearl</t>
        </is>
      </c>
    </row>
    <row r="376">
      <c r="A376" s="8" t="inlineStr">
        <is>
          <t>UCAM Esports</t>
        </is>
      </c>
      <c r="B376" s="8" t="inlineStr">
        <is>
          <t>Pearl</t>
        </is>
      </c>
      <c r="C376" s="8" t="inlineStr">
        <is>
          <t>B</t>
        </is>
      </c>
      <c r="D376" s="8" t="inlineStr">
        <is>
          <t>def</t>
        </is>
      </c>
      <c r="E376" s="8" t="n">
        <v>7</v>
      </c>
      <c r="F376" s="8" t="n">
        <v>5</v>
      </c>
      <c r="G376" s="8" t="n">
        <v>2</v>
      </c>
      <c r="H376" s="8" t="n">
        <v>71.43000000000001</v>
      </c>
      <c r="I376" s="8" t="inlineStr">
        <is>
          <t>UCAM Esports_Pearl</t>
        </is>
      </c>
    </row>
    <row r="377">
      <c r="A377" s="12" t="inlineStr">
        <is>
          <t>UCAM Esports</t>
        </is>
      </c>
      <c r="B377" s="12" t="inlineStr">
        <is>
          <t>Pearl</t>
        </is>
      </c>
      <c r="C377" s="12" t="inlineStr">
        <is>
          <t>B</t>
        </is>
      </c>
      <c r="D377" s="12" t="inlineStr">
        <is>
          <t>atk</t>
        </is>
      </c>
      <c r="E377" s="12" t="n">
        <v>7</v>
      </c>
      <c r="F377" s="12" t="n">
        <v>3</v>
      </c>
      <c r="G377" s="12" t="n">
        <v>4</v>
      </c>
      <c r="H377" s="12" t="n">
        <v>42.86</v>
      </c>
      <c r="I377" s="12" t="inlineStr">
        <is>
          <t>UCAM Esports_Pearl</t>
        </is>
      </c>
    </row>
    <row r="378">
      <c r="A378" s="8" t="inlineStr">
        <is>
          <t>UCAM Esports</t>
        </is>
      </c>
      <c r="B378" s="8" t="inlineStr">
        <is>
          <t>Split</t>
        </is>
      </c>
      <c r="C378" s="8" t="inlineStr">
        <is>
          <t>A</t>
        </is>
      </c>
      <c r="D378" s="8" t="inlineStr">
        <is>
          <t>def</t>
        </is>
      </c>
      <c r="E378" s="8" t="n">
        <v>15</v>
      </c>
      <c r="F378" s="8" t="n">
        <v>3</v>
      </c>
      <c r="G378" s="8" t="n">
        <v>12</v>
      </c>
      <c r="H378" s="8" t="n">
        <v>20</v>
      </c>
      <c r="I378" s="8" t="inlineStr">
        <is>
          <t>UCAM Esports_Split</t>
        </is>
      </c>
    </row>
    <row r="379">
      <c r="A379" s="12" t="inlineStr">
        <is>
          <t>UCAM Esports</t>
        </is>
      </c>
      <c r="B379" s="12" t="inlineStr">
        <is>
          <t>Split</t>
        </is>
      </c>
      <c r="C379" s="12" t="inlineStr">
        <is>
          <t>A</t>
        </is>
      </c>
      <c r="D379" s="12" t="inlineStr">
        <is>
          <t>atk</t>
        </is>
      </c>
      <c r="E379" s="12" t="n">
        <v>14</v>
      </c>
      <c r="F379" s="12" t="n">
        <v>10</v>
      </c>
      <c r="G379" s="12" t="n">
        <v>4</v>
      </c>
      <c r="H379" s="12" t="n">
        <v>71.43000000000001</v>
      </c>
      <c r="I379" s="12" t="inlineStr">
        <is>
          <t>UCAM Esports_Split</t>
        </is>
      </c>
    </row>
    <row r="380">
      <c r="A380" s="8" t="inlineStr">
        <is>
          <t>UCAM Esports</t>
        </is>
      </c>
      <c r="B380" s="8" t="inlineStr">
        <is>
          <t>Split</t>
        </is>
      </c>
      <c r="C380" s="8" t="inlineStr">
        <is>
          <t>B</t>
        </is>
      </c>
      <c r="D380" s="8" t="inlineStr">
        <is>
          <t>def</t>
        </is>
      </c>
      <c r="E380" s="8" t="n">
        <v>21</v>
      </c>
      <c r="F380" s="8" t="n">
        <v>6</v>
      </c>
      <c r="G380" s="8" t="n">
        <v>15</v>
      </c>
      <c r="H380" s="8" t="n">
        <v>28.57</v>
      </c>
      <c r="I380" s="8" t="inlineStr">
        <is>
          <t>UCAM Esports_Split</t>
        </is>
      </c>
    </row>
    <row r="381">
      <c r="A381" s="12" t="inlineStr">
        <is>
          <t>UCAM Esports</t>
        </is>
      </c>
      <c r="B381" s="12" t="inlineStr">
        <is>
          <t>Split</t>
        </is>
      </c>
      <c r="C381" s="12" t="inlineStr">
        <is>
          <t>B</t>
        </is>
      </c>
      <c r="D381" s="12" t="inlineStr">
        <is>
          <t>atk</t>
        </is>
      </c>
      <c r="E381" s="12" t="n">
        <v>14</v>
      </c>
      <c r="F381" s="12" t="n">
        <v>9</v>
      </c>
      <c r="G381" s="12" t="n">
        <v>5</v>
      </c>
      <c r="H381" s="12" t="n">
        <v>64.29000000000001</v>
      </c>
      <c r="I381" s="12" t="inlineStr">
        <is>
          <t>UCAM Esports_Split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33333"/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Team</t>
        </is>
      </c>
      <c r="B1" s="4" t="inlineStr">
        <is>
          <t>Playername</t>
        </is>
      </c>
      <c r="C1" s="4" t="inlineStr">
        <is>
          <t>ACS</t>
        </is>
      </c>
      <c r="D1" s="4" t="inlineStr">
        <is>
          <t>Rounds</t>
        </is>
      </c>
      <c r="E1" s="4" t="inlineStr">
        <is>
          <t>Kills</t>
        </is>
      </c>
      <c r="F1" s="4" t="inlineStr">
        <is>
          <t>Deaths</t>
        </is>
      </c>
      <c r="G1" s="4" t="inlineStr">
        <is>
          <t>Assists</t>
        </is>
      </c>
      <c r="H1" s="4" t="inlineStr">
        <is>
          <t>FK</t>
        </is>
      </c>
      <c r="I1" s="4" t="inlineStr">
        <is>
          <t>FD</t>
        </is>
      </c>
      <c r="J1" s="4" t="inlineStr">
        <is>
          <t>K/D</t>
        </is>
      </c>
      <c r="K1" s="4" t="inlineStr">
        <is>
          <t>KA/D</t>
        </is>
      </c>
      <c r="L1" s="4" t="inlineStr">
        <is>
          <t>FK%</t>
        </is>
      </c>
      <c r="M1" s="4" t="inlineStr">
        <is>
          <t>Clutch Scens</t>
        </is>
      </c>
      <c r="N1" s="4" t="inlineStr">
        <is>
          <t>Clutches</t>
        </is>
      </c>
      <c r="O1" s="4" t="inlineStr">
        <is>
          <t>Clutch%</t>
        </is>
      </c>
      <c r="P1" s="4" t="inlineStr">
        <is>
          <t>KAST</t>
        </is>
      </c>
      <c r="Q1" s="4" t="inlineStr">
        <is>
          <t>AWP%</t>
        </is>
      </c>
    </row>
    <row r="2">
      <c r="A2" s="8" t="inlineStr">
        <is>
          <t>FOKUS</t>
        </is>
      </c>
      <c r="B2" s="8" t="inlineStr">
        <is>
          <t>pa1ze</t>
        </is>
      </c>
      <c r="C2" s="8" t="n">
        <v>233</v>
      </c>
      <c r="D2" s="8" t="n">
        <v>998</v>
      </c>
      <c r="E2" s="8" t="n">
        <v>825</v>
      </c>
      <c r="F2" s="8" t="n">
        <v>720</v>
      </c>
      <c r="G2" s="8" t="n">
        <v>184</v>
      </c>
      <c r="H2" s="8" t="n">
        <v>167</v>
      </c>
      <c r="I2" s="8" t="n">
        <v>166</v>
      </c>
      <c r="J2" s="8" t="n">
        <v>1.15</v>
      </c>
      <c r="K2" s="8" t="n">
        <v>1.4</v>
      </c>
      <c r="L2" s="8" t="n">
        <v>0.5</v>
      </c>
      <c r="M2" s="8" t="n">
        <v>46</v>
      </c>
      <c r="N2" s="8" t="n">
        <v>12</v>
      </c>
      <c r="O2" s="8" t="n">
        <v>0.26</v>
      </c>
      <c r="P2" s="8" t="n">
        <v>0.71</v>
      </c>
      <c r="Q2" s="8" t="n">
        <v>0.0255</v>
      </c>
    </row>
    <row r="3">
      <c r="A3" s="12" t="inlineStr">
        <is>
          <t>FOKUS</t>
        </is>
      </c>
      <c r="B3" s="12" t="inlineStr">
        <is>
          <t>Serial</t>
        </is>
      </c>
      <c r="C3" s="12" t="n">
        <v>219</v>
      </c>
      <c r="D3" s="12" t="n">
        <v>998</v>
      </c>
      <c r="E3" s="12" t="n">
        <v>798</v>
      </c>
      <c r="F3" s="12" t="n">
        <v>678</v>
      </c>
      <c r="G3" s="12" t="n">
        <v>208</v>
      </c>
      <c r="H3" s="12" t="n">
        <v>125</v>
      </c>
      <c r="I3" s="12" t="n">
        <v>99</v>
      </c>
      <c r="J3" s="12" t="n">
        <v>1.18</v>
      </c>
      <c r="K3" s="12" t="n">
        <v>1.48</v>
      </c>
      <c r="L3" s="12" t="n">
        <v>0.5600000000000001</v>
      </c>
      <c r="M3" s="12" t="n">
        <v>78</v>
      </c>
      <c r="N3" s="12" t="n">
        <v>11</v>
      </c>
      <c r="O3" s="12" t="n">
        <v>0.14</v>
      </c>
      <c r="P3" s="12" t="n">
        <v>0.72</v>
      </c>
      <c r="Q3" s="12" t="n">
        <v>0</v>
      </c>
    </row>
    <row r="4">
      <c r="A4" s="8" t="inlineStr">
        <is>
          <t>FOKUS</t>
        </is>
      </c>
      <c r="B4" s="8" t="inlineStr">
        <is>
          <t>pyrolll</t>
        </is>
      </c>
      <c r="C4" s="8" t="n">
        <v>215</v>
      </c>
      <c r="D4" s="8" t="n">
        <v>998</v>
      </c>
      <c r="E4" s="8" t="n">
        <v>794</v>
      </c>
      <c r="F4" s="8" t="n">
        <v>628</v>
      </c>
      <c r="G4" s="8" t="n">
        <v>189</v>
      </c>
      <c r="H4" s="8" t="n">
        <v>139</v>
      </c>
      <c r="I4" s="8" t="n">
        <v>94</v>
      </c>
      <c r="J4" s="8" t="n">
        <v>1.26</v>
      </c>
      <c r="K4" s="8" t="n">
        <v>1.57</v>
      </c>
      <c r="L4" s="8" t="n">
        <v>0.6</v>
      </c>
      <c r="M4" s="8" t="n">
        <v>113</v>
      </c>
      <c r="N4" s="8" t="n">
        <v>20</v>
      </c>
      <c r="O4" s="8" t="n">
        <v>0.18</v>
      </c>
      <c r="P4" s="8" t="n">
        <v>0.75</v>
      </c>
      <c r="Q4" s="8" t="n">
        <v>0.1045</v>
      </c>
    </row>
    <row r="5">
      <c r="A5" s="12" t="inlineStr">
        <is>
          <t>UCAM Esports</t>
        </is>
      </c>
      <c r="B5" s="12" t="inlineStr">
        <is>
          <t>B1SK</t>
        </is>
      </c>
      <c r="C5" s="12" t="n">
        <v>227</v>
      </c>
      <c r="D5" s="12" t="n">
        <v>963</v>
      </c>
      <c r="E5" s="12" t="n">
        <v>782</v>
      </c>
      <c r="F5" s="12" t="n">
        <v>670</v>
      </c>
      <c r="G5" s="12" t="n">
        <v>175</v>
      </c>
      <c r="H5" s="12" t="n">
        <v>201</v>
      </c>
      <c r="I5" s="12" t="n">
        <v>134</v>
      </c>
      <c r="J5" s="12" t="n">
        <v>1.17</v>
      </c>
      <c r="K5" s="12" t="n">
        <v>1.43</v>
      </c>
      <c r="L5" s="12" t="n">
        <v>0.6</v>
      </c>
      <c r="M5" s="12" t="n">
        <v>86</v>
      </c>
      <c r="N5" s="12" t="n">
        <v>12</v>
      </c>
      <c r="O5" s="12" t="n">
        <v>0.14</v>
      </c>
      <c r="P5" s="12" t="n">
        <v>0.73</v>
      </c>
      <c r="Q5" s="12" t="n">
        <v>0.367</v>
      </c>
    </row>
    <row r="6">
      <c r="A6" s="8" t="inlineStr">
        <is>
          <t>Eintracht Frankfurt</t>
        </is>
      </c>
      <c r="B6" s="8" t="inlineStr">
        <is>
          <t>Jamelinho</t>
        </is>
      </c>
      <c r="C6" s="8" t="n">
        <v>223</v>
      </c>
      <c r="D6" s="8" t="n">
        <v>901</v>
      </c>
      <c r="E6" s="8" t="n">
        <v>721</v>
      </c>
      <c r="F6" s="8" t="n">
        <v>666</v>
      </c>
      <c r="G6" s="8" t="n">
        <v>169</v>
      </c>
      <c r="H6" s="8" t="n">
        <v>167</v>
      </c>
      <c r="I6" s="8" t="n">
        <v>166</v>
      </c>
      <c r="J6" s="8" t="n">
        <v>1.08</v>
      </c>
      <c r="K6" s="8" t="n">
        <v>1.34</v>
      </c>
      <c r="L6" s="8" t="n">
        <v>0.5</v>
      </c>
      <c r="M6" s="8" t="n">
        <v>40</v>
      </c>
      <c r="N6" s="8" t="n">
        <v>5</v>
      </c>
      <c r="O6" s="8" t="n">
        <v>0.12</v>
      </c>
      <c r="P6" s="8" t="n">
        <v>0.7</v>
      </c>
      <c r="Q6" s="8" t="n">
        <v>0.09710000000000001</v>
      </c>
    </row>
    <row r="7">
      <c r="A7" s="12" t="inlineStr">
        <is>
          <t>Eintracht Frankfurt</t>
        </is>
      </c>
      <c r="B7" s="12" t="inlineStr">
        <is>
          <t>MONSTEERR</t>
        </is>
      </c>
      <c r="C7" s="12" t="n">
        <v>223</v>
      </c>
      <c r="D7" s="12" t="n">
        <v>901</v>
      </c>
      <c r="E7" s="12" t="n">
        <v>719</v>
      </c>
      <c r="F7" s="12" t="n">
        <v>605</v>
      </c>
      <c r="G7" s="12" t="n">
        <v>197</v>
      </c>
      <c r="H7" s="12" t="n">
        <v>77</v>
      </c>
      <c r="I7" s="12" t="n">
        <v>81</v>
      </c>
      <c r="J7" s="12" t="n">
        <v>1.19</v>
      </c>
      <c r="K7" s="12" t="n">
        <v>1.51</v>
      </c>
      <c r="L7" s="12" t="n">
        <v>0.49</v>
      </c>
      <c r="M7" s="12" t="n">
        <v>119</v>
      </c>
      <c r="N7" s="12" t="n">
        <v>17</v>
      </c>
      <c r="O7" s="12" t="n">
        <v>0.14</v>
      </c>
      <c r="P7" s="12" t="n">
        <v>0.72</v>
      </c>
      <c r="Q7" s="12" t="n">
        <v>0.0014</v>
      </c>
    </row>
    <row r="8">
      <c r="A8" s="8" t="inlineStr">
        <is>
          <t>Eintracht Frankfurt</t>
        </is>
      </c>
      <c r="B8" s="8" t="inlineStr">
        <is>
          <t>Fizzy</t>
        </is>
      </c>
      <c r="C8" s="8" t="n">
        <v>208</v>
      </c>
      <c r="D8" s="8" t="n">
        <v>901</v>
      </c>
      <c r="E8" s="8" t="n">
        <v>695</v>
      </c>
      <c r="F8" s="8" t="n">
        <v>559</v>
      </c>
      <c r="G8" s="8" t="n">
        <v>300</v>
      </c>
      <c r="H8" s="8" t="n">
        <v>70</v>
      </c>
      <c r="I8" s="8" t="n">
        <v>63</v>
      </c>
      <c r="J8" s="8" t="n">
        <v>1.24</v>
      </c>
      <c r="K8" s="8" t="n">
        <v>1.78</v>
      </c>
      <c r="L8" s="8" t="n">
        <v>0.53</v>
      </c>
      <c r="M8" s="8" t="n">
        <v>118</v>
      </c>
      <c r="N8" s="8" t="n">
        <v>22</v>
      </c>
      <c r="O8" s="8" t="n">
        <v>0.19</v>
      </c>
      <c r="P8" s="8" t="n">
        <v>0.76</v>
      </c>
      <c r="Q8" s="8" t="n">
        <v>0.0259</v>
      </c>
    </row>
    <row r="9">
      <c r="A9" s="12" t="inlineStr">
        <is>
          <t>FOKUS</t>
        </is>
      </c>
      <c r="B9" s="12" t="inlineStr">
        <is>
          <t>shinnok</t>
        </is>
      </c>
      <c r="C9" s="12" t="n">
        <v>194</v>
      </c>
      <c r="D9" s="12" t="n">
        <v>998</v>
      </c>
      <c r="E9" s="12" t="n">
        <v>680</v>
      </c>
      <c r="F9" s="12" t="n">
        <v>580</v>
      </c>
      <c r="G9" s="12" t="n">
        <v>314</v>
      </c>
      <c r="H9" s="12" t="n">
        <v>51</v>
      </c>
      <c r="I9" s="12" t="n">
        <v>34</v>
      </c>
      <c r="J9" s="12" t="n">
        <v>1.17</v>
      </c>
      <c r="K9" s="12" t="n">
        <v>1.71</v>
      </c>
      <c r="L9" s="12" t="n">
        <v>0.6</v>
      </c>
      <c r="M9" s="12" t="n">
        <v>137</v>
      </c>
      <c r="N9" s="12" t="n">
        <v>17</v>
      </c>
      <c r="O9" s="12" t="n">
        <v>0.12</v>
      </c>
      <c r="P9" s="12" t="n">
        <v>0.77</v>
      </c>
      <c r="Q9" s="12" t="n">
        <v>0.0029</v>
      </c>
    </row>
    <row r="10">
      <c r="A10" s="8" t="inlineStr">
        <is>
          <t>UCAM Esports</t>
        </is>
      </c>
      <c r="B10" s="8" t="inlineStr">
        <is>
          <t>Famsii</t>
        </is>
      </c>
      <c r="C10" s="8" t="n">
        <v>193</v>
      </c>
      <c r="D10" s="8" t="n">
        <v>963</v>
      </c>
      <c r="E10" s="8" t="n">
        <v>664</v>
      </c>
      <c r="F10" s="8" t="n">
        <v>670</v>
      </c>
      <c r="G10" s="8" t="n">
        <v>243</v>
      </c>
      <c r="H10" s="8" t="n">
        <v>77</v>
      </c>
      <c r="I10" s="8" t="n">
        <v>86</v>
      </c>
      <c r="J10" s="8" t="n">
        <v>0.99</v>
      </c>
      <c r="K10" s="8" t="n">
        <v>1.35</v>
      </c>
      <c r="L10" s="8" t="n">
        <v>0.47</v>
      </c>
      <c r="M10" s="8" t="n">
        <v>89</v>
      </c>
      <c r="N10" s="8" t="n">
        <v>23</v>
      </c>
      <c r="O10" s="8" t="n">
        <v>0.26</v>
      </c>
      <c r="P10" s="8" t="n">
        <v>0.74</v>
      </c>
      <c r="Q10" s="8" t="n">
        <v>0.0015</v>
      </c>
    </row>
    <row r="11">
      <c r="A11" s="12" t="inlineStr">
        <is>
          <t>UCAM Esports</t>
        </is>
      </c>
      <c r="B11" s="12" t="inlineStr">
        <is>
          <t>OLIZERA</t>
        </is>
      </c>
      <c r="C11" s="12" t="n">
        <v>197</v>
      </c>
      <c r="D11" s="12" t="n">
        <v>963</v>
      </c>
      <c r="E11" s="12" t="n">
        <v>657</v>
      </c>
      <c r="F11" s="12" t="n">
        <v>680</v>
      </c>
      <c r="G11" s="12" t="n">
        <v>247</v>
      </c>
      <c r="H11" s="12" t="n">
        <v>65</v>
      </c>
      <c r="I11" s="12" t="n">
        <v>100</v>
      </c>
      <c r="J11" s="12" t="n">
        <v>0.97</v>
      </c>
      <c r="K11" s="12" t="n">
        <v>1.33</v>
      </c>
      <c r="L11" s="12" t="n">
        <v>0.39</v>
      </c>
      <c r="M11" s="12" t="n">
        <v>129</v>
      </c>
      <c r="N11" s="12" t="n">
        <v>24</v>
      </c>
      <c r="O11" s="12" t="n">
        <v>0.19</v>
      </c>
      <c r="P11" s="12" t="n">
        <v>0.71</v>
      </c>
      <c r="Q11" s="12" t="n">
        <v>0.0061</v>
      </c>
    </row>
    <row r="12">
      <c r="A12" s="8" t="inlineStr">
        <is>
          <t>FOKUS</t>
        </is>
      </c>
      <c r="B12" s="8" t="inlineStr">
        <is>
          <t>MOLSI</t>
        </is>
      </c>
      <c r="C12" s="8" t="n">
        <v>181</v>
      </c>
      <c r="D12" s="8" t="n">
        <v>998</v>
      </c>
      <c r="E12" s="8" t="n">
        <v>650</v>
      </c>
      <c r="F12" s="8" t="n">
        <v>634</v>
      </c>
      <c r="G12" s="8" t="n">
        <v>348</v>
      </c>
      <c r="H12" s="8" t="n">
        <v>63</v>
      </c>
      <c r="I12" s="8" t="n">
        <v>61</v>
      </c>
      <c r="J12" s="8" t="n">
        <v>1.03</v>
      </c>
      <c r="K12" s="8" t="n">
        <v>1.57</v>
      </c>
      <c r="L12" s="8" t="n">
        <v>0.51</v>
      </c>
      <c r="M12" s="8" t="n">
        <v>109</v>
      </c>
      <c r="N12" s="8" t="n">
        <v>15</v>
      </c>
      <c r="O12" s="8" t="n">
        <v>0.14</v>
      </c>
      <c r="P12" s="8" t="n">
        <v>0.77</v>
      </c>
      <c r="Q12" s="8" t="n">
        <v>0.0015</v>
      </c>
    </row>
    <row r="13">
      <c r="A13" s="12" t="inlineStr">
        <is>
          <t>UCAM Esports</t>
        </is>
      </c>
      <c r="B13" s="12" t="inlineStr">
        <is>
          <t>Jesse</t>
        </is>
      </c>
      <c r="C13" s="12" t="n">
        <v>186</v>
      </c>
      <c r="D13" s="12" t="n">
        <v>963</v>
      </c>
      <c r="E13" s="12" t="n">
        <v>649</v>
      </c>
      <c r="F13" s="12" t="n">
        <v>625</v>
      </c>
      <c r="G13" s="12" t="n">
        <v>327</v>
      </c>
      <c r="H13" s="12" t="n">
        <v>50</v>
      </c>
      <c r="I13" s="12" t="n">
        <v>61</v>
      </c>
      <c r="J13" s="12" t="n">
        <v>1.04</v>
      </c>
      <c r="K13" s="12" t="n">
        <v>1.56</v>
      </c>
      <c r="L13" s="12" t="n">
        <v>0.45</v>
      </c>
      <c r="M13" s="12" t="n">
        <v>126</v>
      </c>
      <c r="N13" s="12" t="n">
        <v>21</v>
      </c>
      <c r="O13" s="12" t="n">
        <v>0.17</v>
      </c>
      <c r="P13" s="12" t="n">
        <v>0.76</v>
      </c>
      <c r="Q13" s="12" t="n">
        <v>0.0015</v>
      </c>
    </row>
    <row r="14">
      <c r="A14" s="8" t="inlineStr">
        <is>
          <t>Eintracht Frankfurt</t>
        </is>
      </c>
      <c r="B14" s="8" t="inlineStr">
        <is>
          <t>azury</t>
        </is>
      </c>
      <c r="C14" s="8" t="n">
        <v>195</v>
      </c>
      <c r="D14" s="8" t="n">
        <v>901</v>
      </c>
      <c r="E14" s="8" t="n">
        <v>641</v>
      </c>
      <c r="F14" s="8" t="n">
        <v>573</v>
      </c>
      <c r="G14" s="8" t="n">
        <v>229</v>
      </c>
      <c r="H14" s="8" t="n">
        <v>75</v>
      </c>
      <c r="I14" s="8" t="n">
        <v>78</v>
      </c>
      <c r="J14" s="8" t="n">
        <v>1.12</v>
      </c>
      <c r="K14" s="8" t="n">
        <v>1.52</v>
      </c>
      <c r="L14" s="8" t="n">
        <v>0.49</v>
      </c>
      <c r="M14" s="8" t="n">
        <v>69</v>
      </c>
      <c r="N14" s="8" t="n">
        <v>11</v>
      </c>
      <c r="O14" s="8" t="n">
        <v>0.16</v>
      </c>
      <c r="P14" s="8" t="n">
        <v>0.75</v>
      </c>
      <c r="Q14" s="8" t="n">
        <v>0.0328</v>
      </c>
    </row>
    <row r="15">
      <c r="A15" s="12" t="inlineStr">
        <is>
          <t>UCAM Esports</t>
        </is>
      </c>
      <c r="B15" s="12" t="inlineStr">
        <is>
          <t>BULD</t>
        </is>
      </c>
      <c r="C15" s="12" t="n">
        <v>184</v>
      </c>
      <c r="D15" s="12" t="n">
        <v>963</v>
      </c>
      <c r="E15" s="12" t="n">
        <v>637</v>
      </c>
      <c r="F15" s="12" t="n">
        <v>662</v>
      </c>
      <c r="G15" s="12" t="n">
        <v>298</v>
      </c>
      <c r="H15" s="12" t="n">
        <v>89</v>
      </c>
      <c r="I15" s="12" t="n">
        <v>99</v>
      </c>
      <c r="J15" s="12" t="n">
        <v>0.96</v>
      </c>
      <c r="K15" s="12" t="n">
        <v>1.41</v>
      </c>
      <c r="L15" s="12" t="n">
        <v>0.47</v>
      </c>
      <c r="M15" s="12" t="n">
        <v>100</v>
      </c>
      <c r="N15" s="12" t="n">
        <v>16</v>
      </c>
      <c r="O15" s="12" t="n">
        <v>0.16</v>
      </c>
      <c r="P15" s="12" t="n">
        <v>0.73</v>
      </c>
      <c r="Q15" s="12" t="n">
        <v>0.0078</v>
      </c>
    </row>
    <row r="16">
      <c r="A16" s="8" t="inlineStr">
        <is>
          <t>Eintracht Frankfurt</t>
        </is>
      </c>
      <c r="B16" s="8" t="inlineStr">
        <is>
          <t>musashi</t>
        </is>
      </c>
      <c r="C16" s="8" t="n">
        <v>188</v>
      </c>
      <c r="D16" s="8" t="n">
        <v>901</v>
      </c>
      <c r="E16" s="8" t="n">
        <v>593</v>
      </c>
      <c r="F16" s="8" t="n">
        <v>588</v>
      </c>
      <c r="G16" s="8" t="n">
        <v>265</v>
      </c>
      <c r="H16" s="8" t="n">
        <v>60</v>
      </c>
      <c r="I16" s="8" t="n">
        <v>63</v>
      </c>
      <c r="J16" s="8" t="n">
        <v>1.01</v>
      </c>
      <c r="K16" s="8" t="n">
        <v>1.46</v>
      </c>
      <c r="L16" s="8" t="n">
        <v>0.49</v>
      </c>
      <c r="M16" s="8" t="n">
        <v>112</v>
      </c>
      <c r="N16" s="8" t="n">
        <v>16</v>
      </c>
      <c r="O16" s="8" t="n">
        <v>0.14</v>
      </c>
      <c r="P16" s="8" t="n">
        <v>0.75</v>
      </c>
      <c r="Q16" s="8" t="n">
        <v>0.0017</v>
      </c>
    </row>
    <row r="17">
      <c r="A17" s="12" t="inlineStr">
        <is>
          <t>Barça eSports</t>
        </is>
      </c>
      <c r="B17" s="12" t="inlineStr">
        <is>
          <t>globeX</t>
        </is>
      </c>
      <c r="C17" s="12" t="n">
        <v>242</v>
      </c>
      <c r="D17" s="12" t="n">
        <v>637</v>
      </c>
      <c r="E17" s="12" t="n">
        <v>554</v>
      </c>
      <c r="F17" s="12" t="n">
        <v>432</v>
      </c>
      <c r="G17" s="12" t="n">
        <v>148</v>
      </c>
      <c r="H17" s="12" t="n">
        <v>123</v>
      </c>
      <c r="I17" s="12" t="n">
        <v>73</v>
      </c>
      <c r="J17" s="12" t="n">
        <v>1.28</v>
      </c>
      <c r="K17" s="12" t="n">
        <v>1.62</v>
      </c>
      <c r="L17" s="12" t="n">
        <v>0.63</v>
      </c>
      <c r="M17" s="12" t="n">
        <v>49</v>
      </c>
      <c r="N17" s="12" t="n">
        <v>13</v>
      </c>
      <c r="O17" s="12" t="n">
        <v>0.27</v>
      </c>
      <c r="P17" s="12" t="n">
        <v>0.75</v>
      </c>
      <c r="Q17" s="12" t="n">
        <v>0.1119</v>
      </c>
    </row>
    <row r="18">
      <c r="A18" s="8" t="inlineStr">
        <is>
          <t>Stallions Esports</t>
        </is>
      </c>
      <c r="B18" s="8" t="inlineStr">
        <is>
          <t>Susano</t>
        </is>
      </c>
      <c r="C18" s="8" t="n">
        <v>237</v>
      </c>
      <c r="D18" s="8" t="n">
        <v>641</v>
      </c>
      <c r="E18" s="8" t="n">
        <v>547</v>
      </c>
      <c r="F18" s="8" t="n">
        <v>436</v>
      </c>
      <c r="G18" s="8" t="n">
        <v>122</v>
      </c>
      <c r="H18" s="8" t="n">
        <v>103</v>
      </c>
      <c r="I18" s="8" t="n">
        <v>97</v>
      </c>
      <c r="J18" s="8" t="n">
        <v>1.25</v>
      </c>
      <c r="K18" s="8" t="n">
        <v>1.53</v>
      </c>
      <c r="L18" s="8" t="n">
        <v>0.52</v>
      </c>
      <c r="M18" s="8" t="n">
        <v>31</v>
      </c>
      <c r="N18" s="8" t="n">
        <v>5</v>
      </c>
      <c r="O18" s="8" t="n">
        <v>0.16</v>
      </c>
      <c r="P18" s="8" t="n">
        <v>0.72</v>
      </c>
      <c r="Q18" s="8" t="n">
        <v>0.0622</v>
      </c>
    </row>
    <row r="19">
      <c r="A19" s="12" t="inlineStr">
        <is>
          <t>S2G Esports</t>
        </is>
      </c>
      <c r="B19" s="12" t="inlineStr">
        <is>
          <t>Kachoww</t>
        </is>
      </c>
      <c r="C19" s="12" t="n">
        <v>238</v>
      </c>
      <c r="D19" s="12" t="n">
        <v>641</v>
      </c>
      <c r="E19" s="12" t="n">
        <v>533</v>
      </c>
      <c r="F19" s="12" t="n">
        <v>473</v>
      </c>
      <c r="G19" s="12" t="n">
        <v>171</v>
      </c>
      <c r="H19" s="12" t="n">
        <v>112</v>
      </c>
      <c r="I19" s="12" t="n">
        <v>75</v>
      </c>
      <c r="J19" s="12" t="n">
        <v>1.13</v>
      </c>
      <c r="K19" s="12" t="n">
        <v>1.49</v>
      </c>
      <c r="L19" s="12" t="n">
        <v>0.6</v>
      </c>
      <c r="M19" s="12" t="n">
        <v>48</v>
      </c>
      <c r="N19" s="12" t="n">
        <v>3</v>
      </c>
      <c r="O19" s="12" t="n">
        <v>0.06</v>
      </c>
      <c r="P19" s="12" t="n">
        <v>0.76</v>
      </c>
      <c r="Q19" s="12" t="n">
        <v>0.03</v>
      </c>
    </row>
    <row r="20">
      <c r="A20" s="8" t="inlineStr">
        <is>
          <t>GnG Amazigh</t>
        </is>
      </c>
      <c r="B20" s="8" t="inlineStr">
        <is>
          <t>CUNHA</t>
        </is>
      </c>
      <c r="C20" s="8" t="n">
        <v>194</v>
      </c>
      <c r="D20" s="8" t="n">
        <v>714</v>
      </c>
      <c r="E20" s="8" t="n">
        <v>531</v>
      </c>
      <c r="F20" s="8" t="n">
        <v>450</v>
      </c>
      <c r="G20" s="8" t="n">
        <v>262</v>
      </c>
      <c r="H20" s="8" t="n">
        <v>56</v>
      </c>
      <c r="I20" s="8" t="n">
        <v>52</v>
      </c>
      <c r="J20" s="8" t="n">
        <v>1.18</v>
      </c>
      <c r="K20" s="8" t="n">
        <v>1.76</v>
      </c>
      <c r="L20" s="8" t="n">
        <v>0.52</v>
      </c>
      <c r="M20" s="8" t="n">
        <v>102</v>
      </c>
      <c r="N20" s="8" t="n">
        <v>26</v>
      </c>
      <c r="O20" s="8" t="n">
        <v>0.25</v>
      </c>
      <c r="P20" s="8" t="n">
        <v>0.75</v>
      </c>
      <c r="Q20" s="8" t="n">
        <v>0.0075</v>
      </c>
    </row>
    <row r="21">
      <c r="A21" s="12" t="inlineStr">
        <is>
          <t>Joblife</t>
        </is>
      </c>
      <c r="B21" s="12" t="inlineStr">
        <is>
          <t>Kamyk</t>
        </is>
      </c>
      <c r="C21" s="12" t="n">
        <v>205</v>
      </c>
      <c r="D21" s="12" t="n">
        <v>683</v>
      </c>
      <c r="E21" s="12" t="n">
        <v>526</v>
      </c>
      <c r="F21" s="12" t="n">
        <v>423</v>
      </c>
      <c r="G21" s="12" t="n">
        <v>218</v>
      </c>
      <c r="H21" s="12" t="n">
        <v>60</v>
      </c>
      <c r="I21" s="12" t="n">
        <v>48</v>
      </c>
      <c r="J21" s="12" t="n">
        <v>1.24</v>
      </c>
      <c r="K21" s="12" t="n">
        <v>1.76</v>
      </c>
      <c r="L21" s="12" t="n">
        <v>0.5600000000000001</v>
      </c>
      <c r="M21" s="12" t="n">
        <v>76</v>
      </c>
      <c r="N21" s="12" t="n">
        <v>8</v>
      </c>
      <c r="O21" s="12" t="n">
        <v>0.11</v>
      </c>
      <c r="P21" s="12" t="n">
        <v>0.8</v>
      </c>
      <c r="Q21" s="12" t="n">
        <v>0.0057</v>
      </c>
    </row>
    <row r="22">
      <c r="A22" s="8" t="inlineStr">
        <is>
          <t>Joblife</t>
        </is>
      </c>
      <c r="B22" s="8" t="inlineStr">
        <is>
          <t>Chiwa</t>
        </is>
      </c>
      <c r="C22" s="8" t="n">
        <v>203</v>
      </c>
      <c r="D22" s="8" t="n">
        <v>683</v>
      </c>
      <c r="E22" s="8" t="n">
        <v>522</v>
      </c>
      <c r="F22" s="8" t="n">
        <v>420</v>
      </c>
      <c r="G22" s="8" t="n">
        <v>127</v>
      </c>
      <c r="H22" s="8" t="n">
        <v>67</v>
      </c>
      <c r="I22" s="8" t="n">
        <v>45</v>
      </c>
      <c r="J22" s="8" t="n">
        <v>1.24</v>
      </c>
      <c r="K22" s="8" t="n">
        <v>1.55</v>
      </c>
      <c r="L22" s="8" t="n">
        <v>0.6</v>
      </c>
      <c r="M22" s="8" t="n">
        <v>60</v>
      </c>
      <c r="N22" s="8" t="n">
        <v>17</v>
      </c>
      <c r="O22" s="8" t="n">
        <v>0.28</v>
      </c>
      <c r="P22" s="8" t="n">
        <v>0.76</v>
      </c>
      <c r="Q22" s="8" t="n">
        <v>0.0211</v>
      </c>
    </row>
    <row r="23">
      <c r="A23" s="12" t="inlineStr">
        <is>
          <t>Barça eSports</t>
        </is>
      </c>
      <c r="B23" s="12" t="inlineStr">
        <is>
          <t>Guardy</t>
        </is>
      </c>
      <c r="C23" s="12" t="n">
        <v>220</v>
      </c>
      <c r="D23" s="12" t="n">
        <v>637</v>
      </c>
      <c r="E23" s="12" t="n">
        <v>509</v>
      </c>
      <c r="F23" s="12" t="n">
        <v>437</v>
      </c>
      <c r="G23" s="12" t="n">
        <v>186</v>
      </c>
      <c r="H23" s="12" t="n">
        <v>67</v>
      </c>
      <c r="I23" s="12" t="n">
        <v>60</v>
      </c>
      <c r="J23" s="12" t="n">
        <v>1.16</v>
      </c>
      <c r="K23" s="12" t="n">
        <v>1.59</v>
      </c>
      <c r="L23" s="12" t="n">
        <v>0.53</v>
      </c>
      <c r="M23" s="12" t="n">
        <v>64</v>
      </c>
      <c r="N23" s="12" t="n">
        <v>14</v>
      </c>
      <c r="O23" s="12" t="n">
        <v>0.22</v>
      </c>
      <c r="P23" s="12" t="n">
        <v>0.74</v>
      </c>
      <c r="Q23" s="12" t="n">
        <v>0</v>
      </c>
    </row>
    <row r="24">
      <c r="A24" s="8" t="inlineStr">
        <is>
          <t>Team Liquid Academy</t>
        </is>
      </c>
      <c r="B24" s="8" t="inlineStr">
        <is>
          <t>Kicks</t>
        </is>
      </c>
      <c r="C24" s="8" t="n">
        <v>205</v>
      </c>
      <c r="D24" s="8" t="n">
        <v>663</v>
      </c>
      <c r="E24" s="8" t="n">
        <v>498</v>
      </c>
      <c r="F24" s="8" t="n">
        <v>401</v>
      </c>
      <c r="G24" s="8" t="n">
        <v>193</v>
      </c>
      <c r="H24" s="8" t="n">
        <v>42</v>
      </c>
      <c r="I24" s="8" t="n">
        <v>27</v>
      </c>
      <c r="J24" s="8" t="n">
        <v>1.24</v>
      </c>
      <c r="K24" s="8" t="n">
        <v>1.72</v>
      </c>
      <c r="L24" s="8" t="n">
        <v>0.61</v>
      </c>
      <c r="M24" s="8" t="n">
        <v>102</v>
      </c>
      <c r="N24" s="8" t="n">
        <v>31</v>
      </c>
      <c r="O24" s="8" t="n">
        <v>0.3</v>
      </c>
      <c r="P24" s="8" t="n">
        <v>0.76</v>
      </c>
      <c r="Q24" s="8" t="n">
        <v>0</v>
      </c>
    </row>
    <row r="25">
      <c r="A25" s="12" t="inlineStr">
        <is>
          <t>Joblife</t>
        </is>
      </c>
      <c r="B25" s="12" t="inlineStr">
        <is>
          <t>Doma</t>
        </is>
      </c>
      <c r="C25" s="12" t="n">
        <v>195</v>
      </c>
      <c r="D25" s="12" t="n">
        <v>683</v>
      </c>
      <c r="E25" s="12" t="n">
        <v>487</v>
      </c>
      <c r="F25" s="12" t="n">
        <v>431</v>
      </c>
      <c r="G25" s="12" t="n">
        <v>180</v>
      </c>
      <c r="H25" s="12" t="n">
        <v>89</v>
      </c>
      <c r="I25" s="12" t="n">
        <v>59</v>
      </c>
      <c r="J25" s="12" t="n">
        <v>1.13</v>
      </c>
      <c r="K25" s="12" t="n">
        <v>1.55</v>
      </c>
      <c r="L25" s="12" t="n">
        <v>0.6</v>
      </c>
      <c r="M25" s="12" t="n">
        <v>72</v>
      </c>
      <c r="N25" s="12" t="n">
        <v>10</v>
      </c>
      <c r="O25" s="12" t="n">
        <v>0.14</v>
      </c>
      <c r="P25" s="12" t="n">
        <v>0.78</v>
      </c>
      <c r="Q25" s="12" t="n">
        <v>0.0862</v>
      </c>
    </row>
    <row r="26">
      <c r="A26" s="8" t="inlineStr">
        <is>
          <t>GnG Amazigh</t>
        </is>
      </c>
      <c r="B26" s="8" t="inlineStr">
        <is>
          <t>LOOP</t>
        </is>
      </c>
      <c r="C26" s="8" t="n">
        <v>182</v>
      </c>
      <c r="D26" s="8" t="n">
        <v>740</v>
      </c>
      <c r="E26" s="8" t="n">
        <v>482</v>
      </c>
      <c r="F26" s="8" t="n">
        <v>516</v>
      </c>
      <c r="G26" s="8" t="n">
        <v>174</v>
      </c>
      <c r="H26" s="8" t="n">
        <v>74</v>
      </c>
      <c r="I26" s="8" t="n">
        <v>73</v>
      </c>
      <c r="J26" s="8" t="n">
        <v>0.93</v>
      </c>
      <c r="K26" s="8" t="n">
        <v>1.27</v>
      </c>
      <c r="L26" s="8" t="n">
        <v>0.5</v>
      </c>
      <c r="M26" s="8" t="n">
        <v>85</v>
      </c>
      <c r="N26" s="8" t="n">
        <v>11</v>
      </c>
      <c r="O26" s="8" t="n">
        <v>0.13</v>
      </c>
      <c r="P26" s="8" t="n">
        <v>0.73</v>
      </c>
      <c r="Q26" s="8" t="n">
        <v>0.0021</v>
      </c>
    </row>
    <row r="27">
      <c r="A27" s="12" t="inlineStr">
        <is>
          <t>GnG Amazigh</t>
        </is>
      </c>
      <c r="B27" s="12" t="inlineStr">
        <is>
          <t>MonOkson</t>
        </is>
      </c>
      <c r="C27" s="12" t="n">
        <v>198</v>
      </c>
      <c r="D27" s="12" t="n">
        <v>690</v>
      </c>
      <c r="E27" s="12" t="n">
        <v>478</v>
      </c>
      <c r="F27" s="12" t="n">
        <v>452</v>
      </c>
      <c r="G27" s="12" t="n">
        <v>174</v>
      </c>
      <c r="H27" s="12" t="n">
        <v>56</v>
      </c>
      <c r="I27" s="12" t="n">
        <v>44</v>
      </c>
      <c r="J27" s="12" t="n">
        <v>1.06</v>
      </c>
      <c r="K27" s="12" t="n">
        <v>1.44</v>
      </c>
      <c r="L27" s="12" t="n">
        <v>0.5600000000000001</v>
      </c>
      <c r="M27" s="12" t="n">
        <v>126</v>
      </c>
      <c r="N27" s="12" t="n">
        <v>13</v>
      </c>
      <c r="O27" s="12" t="n">
        <v>0.1</v>
      </c>
      <c r="P27" s="12" t="n">
        <v>0.76</v>
      </c>
      <c r="Q27" s="12" t="n">
        <v>0.0021</v>
      </c>
    </row>
    <row r="28">
      <c r="A28" s="8" t="inlineStr">
        <is>
          <t>Joblife</t>
        </is>
      </c>
      <c r="B28" s="8" t="inlineStr">
        <is>
          <t>Runner</t>
        </is>
      </c>
      <c r="C28" s="8" t="n">
        <v>190</v>
      </c>
      <c r="D28" s="8" t="n">
        <v>683</v>
      </c>
      <c r="E28" s="8" t="n">
        <v>476</v>
      </c>
      <c r="F28" s="8" t="n">
        <v>469</v>
      </c>
      <c r="G28" s="8" t="n">
        <v>146</v>
      </c>
      <c r="H28" s="8" t="n">
        <v>94</v>
      </c>
      <c r="I28" s="8" t="n">
        <v>120</v>
      </c>
      <c r="J28" s="8" t="n">
        <v>1.01</v>
      </c>
      <c r="K28" s="8" t="n">
        <v>1.33</v>
      </c>
      <c r="L28" s="8" t="n">
        <v>0.44</v>
      </c>
      <c r="M28" s="8" t="n">
        <v>42</v>
      </c>
      <c r="N28" s="8" t="n">
        <v>9</v>
      </c>
      <c r="O28" s="8" t="n">
        <v>0.21</v>
      </c>
      <c r="P28" s="8" t="n">
        <v>0.72</v>
      </c>
      <c r="Q28" s="8" t="n">
        <v>0.0504</v>
      </c>
    </row>
    <row r="29">
      <c r="A29" s="12" t="inlineStr">
        <is>
          <t>Stallions Esports</t>
        </is>
      </c>
      <c r="B29" s="12" t="inlineStr">
        <is>
          <t>Koji</t>
        </is>
      </c>
      <c r="C29" s="12" t="n">
        <v>201</v>
      </c>
      <c r="D29" s="12" t="n">
        <v>641</v>
      </c>
      <c r="E29" s="12" t="n">
        <v>475</v>
      </c>
      <c r="F29" s="12" t="n">
        <v>382</v>
      </c>
      <c r="G29" s="12" t="n">
        <v>100</v>
      </c>
      <c r="H29" s="12" t="n">
        <v>59</v>
      </c>
      <c r="I29" s="12" t="n">
        <v>37</v>
      </c>
      <c r="J29" s="12" t="n">
        <v>1.24</v>
      </c>
      <c r="K29" s="12" t="n">
        <v>1.51</v>
      </c>
      <c r="L29" s="12" t="n">
        <v>0.61</v>
      </c>
      <c r="M29" s="12" t="n">
        <v>63</v>
      </c>
      <c r="N29" s="12" t="n">
        <v>11</v>
      </c>
      <c r="O29" s="12" t="n">
        <v>0.17</v>
      </c>
      <c r="P29" s="12" t="n">
        <v>0.77</v>
      </c>
      <c r="Q29" s="12" t="n">
        <v>0</v>
      </c>
    </row>
    <row r="30">
      <c r="A30" s="8" t="inlineStr">
        <is>
          <t>Barça eSports</t>
        </is>
      </c>
      <c r="B30" s="8" t="inlineStr">
        <is>
          <t>Stonezy</t>
        </is>
      </c>
      <c r="C30" s="8" t="n">
        <v>201</v>
      </c>
      <c r="D30" s="8" t="n">
        <v>637</v>
      </c>
      <c r="E30" s="8" t="n">
        <v>472</v>
      </c>
      <c r="F30" s="8" t="n">
        <v>412</v>
      </c>
      <c r="G30" s="8" t="n">
        <v>131</v>
      </c>
      <c r="H30" s="8" t="n">
        <v>56</v>
      </c>
      <c r="I30" s="8" t="n">
        <v>51</v>
      </c>
      <c r="J30" s="8" t="n">
        <v>1.15</v>
      </c>
      <c r="K30" s="8" t="n">
        <v>1.46</v>
      </c>
      <c r="L30" s="8" t="n">
        <v>0.52</v>
      </c>
      <c r="M30" s="8" t="n">
        <v>81</v>
      </c>
      <c r="N30" s="8" t="n">
        <v>17</v>
      </c>
      <c r="O30" s="8" t="n">
        <v>0.21</v>
      </c>
      <c r="P30" s="8" t="n">
        <v>0.74</v>
      </c>
      <c r="Q30" s="8" t="n">
        <v>0.0975</v>
      </c>
    </row>
    <row r="31">
      <c r="A31" s="12" t="inlineStr">
        <is>
          <t>S2G Esports</t>
        </is>
      </c>
      <c r="B31" s="12" t="inlineStr">
        <is>
          <t>Deadink</t>
        </is>
      </c>
      <c r="C31" s="12" t="n">
        <v>202</v>
      </c>
      <c r="D31" s="12" t="n">
        <v>641</v>
      </c>
      <c r="E31" s="12" t="n">
        <v>467</v>
      </c>
      <c r="F31" s="12" t="n">
        <v>449</v>
      </c>
      <c r="G31" s="12" t="n">
        <v>134</v>
      </c>
      <c r="H31" s="12" t="n">
        <v>88</v>
      </c>
      <c r="I31" s="12" t="n">
        <v>76</v>
      </c>
      <c r="J31" s="12" t="n">
        <v>1.04</v>
      </c>
      <c r="K31" s="12" t="n">
        <v>1.34</v>
      </c>
      <c r="L31" s="12" t="n">
        <v>0.54</v>
      </c>
      <c r="M31" s="12" t="n">
        <v>63</v>
      </c>
      <c r="N31" s="12" t="n">
        <v>15</v>
      </c>
      <c r="O31" s="12" t="n">
        <v>0.24</v>
      </c>
      <c r="P31" s="12" t="n">
        <v>0.74</v>
      </c>
      <c r="Q31" s="12" t="n">
        <v>0.137</v>
      </c>
    </row>
    <row r="32">
      <c r="A32" s="8" t="inlineStr">
        <is>
          <t>Mandatory</t>
        </is>
      </c>
      <c r="B32" s="8" t="inlineStr">
        <is>
          <t>Takaas</t>
        </is>
      </c>
      <c r="C32" s="8" t="n">
        <v>220</v>
      </c>
      <c r="D32" s="8" t="n">
        <v>590</v>
      </c>
      <c r="E32" s="8" t="n">
        <v>466</v>
      </c>
      <c r="F32" s="8" t="n">
        <v>441</v>
      </c>
      <c r="G32" s="8" t="n">
        <v>140</v>
      </c>
      <c r="H32" s="8" t="n">
        <v>105</v>
      </c>
      <c r="I32" s="8" t="n">
        <v>93</v>
      </c>
      <c r="J32" s="8" t="n">
        <v>1.06</v>
      </c>
      <c r="K32" s="8" t="n">
        <v>1.37</v>
      </c>
      <c r="L32" s="8" t="n">
        <v>0.53</v>
      </c>
      <c r="M32" s="8" t="n">
        <v>28</v>
      </c>
      <c r="N32" s="8" t="n">
        <v>2</v>
      </c>
      <c r="O32" s="8" t="n">
        <v>0.07000000000000001</v>
      </c>
      <c r="P32" s="8" t="n">
        <v>0.72</v>
      </c>
      <c r="Q32" s="8" t="n">
        <v>0.0815</v>
      </c>
    </row>
    <row r="33">
      <c r="A33" s="12" t="inlineStr">
        <is>
          <t>Mandatory</t>
        </is>
      </c>
      <c r="B33" s="12" t="inlineStr">
        <is>
          <t>Sh1n</t>
        </is>
      </c>
      <c r="C33" s="12" t="n">
        <v>210</v>
      </c>
      <c r="D33" s="12" t="n">
        <v>590</v>
      </c>
      <c r="E33" s="12" t="n">
        <v>459</v>
      </c>
      <c r="F33" s="12" t="n">
        <v>368</v>
      </c>
      <c r="G33" s="12" t="n">
        <v>184</v>
      </c>
      <c r="H33" s="12" t="n">
        <v>49</v>
      </c>
      <c r="I33" s="12" t="n">
        <v>49</v>
      </c>
      <c r="J33" s="12" t="n">
        <v>1.25</v>
      </c>
      <c r="K33" s="12" t="n">
        <v>1.75</v>
      </c>
      <c r="L33" s="12" t="n">
        <v>0.5</v>
      </c>
      <c r="M33" s="12" t="n">
        <v>78</v>
      </c>
      <c r="N33" s="12" t="n">
        <v>14</v>
      </c>
      <c r="O33" s="12" t="n">
        <v>0.18</v>
      </c>
      <c r="P33" s="12" t="n">
        <v>0.77</v>
      </c>
      <c r="Q33" s="12" t="n">
        <v>0.0022</v>
      </c>
    </row>
    <row r="34">
      <c r="A34" s="8" t="inlineStr">
        <is>
          <t>Stallions Esports</t>
        </is>
      </c>
      <c r="B34" s="8" t="inlineStr">
        <is>
          <t>Akai</t>
        </is>
      </c>
      <c r="C34" s="8" t="n">
        <v>221</v>
      </c>
      <c r="D34" s="8" t="n">
        <v>576</v>
      </c>
      <c r="E34" s="8" t="n">
        <v>452</v>
      </c>
      <c r="F34" s="8" t="n">
        <v>422</v>
      </c>
      <c r="G34" s="8" t="n">
        <v>108</v>
      </c>
      <c r="H34" s="8" t="n">
        <v>101</v>
      </c>
      <c r="I34" s="8" t="n">
        <v>91</v>
      </c>
      <c r="J34" s="8" t="n">
        <v>1.07</v>
      </c>
      <c r="K34" s="8" t="n">
        <v>1.33</v>
      </c>
      <c r="L34" s="8" t="n">
        <v>0.53</v>
      </c>
      <c r="M34" s="8" t="n">
        <v>35</v>
      </c>
      <c r="N34" s="8" t="n">
        <v>2</v>
      </c>
      <c r="O34" s="8" t="n">
        <v>0.06</v>
      </c>
      <c r="P34" s="8" t="n">
        <v>0.73</v>
      </c>
      <c r="Q34" s="8" t="n">
        <v>0.0531</v>
      </c>
    </row>
    <row r="35">
      <c r="A35" s="12" t="inlineStr">
        <is>
          <t>Mandatory</t>
        </is>
      </c>
      <c r="B35" s="12" t="inlineStr">
        <is>
          <t>Sevire</t>
        </is>
      </c>
      <c r="C35" s="12" t="n">
        <v>208</v>
      </c>
      <c r="D35" s="12" t="n">
        <v>590</v>
      </c>
      <c r="E35" s="12" t="n">
        <v>434</v>
      </c>
      <c r="F35" s="12" t="n">
        <v>395</v>
      </c>
      <c r="G35" s="12" t="n">
        <v>187</v>
      </c>
      <c r="H35" s="12" t="n">
        <v>67</v>
      </c>
      <c r="I35" s="12" t="n">
        <v>52</v>
      </c>
      <c r="J35" s="12" t="n">
        <v>1.1</v>
      </c>
      <c r="K35" s="12" t="n">
        <v>1.57</v>
      </c>
      <c r="L35" s="12" t="n">
        <v>0.5600000000000001</v>
      </c>
      <c r="M35" s="12" t="n">
        <v>60</v>
      </c>
      <c r="N35" s="12" t="n">
        <v>12</v>
      </c>
      <c r="O35" s="12" t="n">
        <v>0.2</v>
      </c>
      <c r="P35" s="12" t="n">
        <v>0.73</v>
      </c>
      <c r="Q35" s="12" t="n">
        <v>0.0484</v>
      </c>
    </row>
    <row r="36">
      <c r="A36" s="8" t="inlineStr">
        <is>
          <t>S2G Esports</t>
        </is>
      </c>
      <c r="B36" s="8" t="inlineStr">
        <is>
          <t>reazy</t>
        </is>
      </c>
      <c r="C36" s="8" t="n">
        <v>192</v>
      </c>
      <c r="D36" s="8" t="n">
        <v>641</v>
      </c>
      <c r="E36" s="8" t="n">
        <v>424</v>
      </c>
      <c r="F36" s="8" t="n">
        <v>436</v>
      </c>
      <c r="G36" s="8" t="n">
        <v>181</v>
      </c>
      <c r="H36" s="8" t="n">
        <v>60</v>
      </c>
      <c r="I36" s="8" t="n">
        <v>56</v>
      </c>
      <c r="J36" s="8" t="n">
        <v>0.97</v>
      </c>
      <c r="K36" s="8" t="n">
        <v>1.39</v>
      </c>
      <c r="L36" s="8" t="n">
        <v>0.52</v>
      </c>
      <c r="M36" s="8" t="n">
        <v>67</v>
      </c>
      <c r="N36" s="8" t="n">
        <v>12</v>
      </c>
      <c r="O36" s="8" t="n">
        <v>0.18</v>
      </c>
      <c r="P36" s="8" t="n">
        <v>0.76</v>
      </c>
      <c r="Q36" s="8" t="n">
        <v>0.0024</v>
      </c>
    </row>
    <row r="37">
      <c r="A37" s="12" t="inlineStr">
        <is>
          <t>Joblife</t>
        </is>
      </c>
      <c r="B37" s="12" t="inlineStr">
        <is>
          <t xml:space="preserve">Enzo </t>
        </is>
      </c>
      <c r="C37" s="12" t="n">
        <v>183</v>
      </c>
      <c r="D37" s="12" t="n">
        <v>683</v>
      </c>
      <c r="E37" s="12" t="n">
        <v>422</v>
      </c>
      <c r="F37" s="12" t="n">
        <v>415</v>
      </c>
      <c r="G37" s="12" t="n">
        <v>229</v>
      </c>
      <c r="H37" s="12" t="n">
        <v>44</v>
      </c>
      <c r="I37" s="12" t="n">
        <v>34</v>
      </c>
      <c r="J37" s="12" t="n">
        <v>1.02</v>
      </c>
      <c r="K37" s="12" t="n">
        <v>1.57</v>
      </c>
      <c r="L37" s="12" t="n">
        <v>0.5600000000000001</v>
      </c>
      <c r="M37" s="12" t="n">
        <v>79</v>
      </c>
      <c r="N37" s="12" t="n">
        <v>11</v>
      </c>
      <c r="O37" s="12" t="n">
        <v>0.14</v>
      </c>
      <c r="P37" s="12" t="n">
        <v>0.78</v>
      </c>
      <c r="Q37" s="12" t="n">
        <v>0.0047</v>
      </c>
    </row>
    <row r="38">
      <c r="A38" s="8" t="inlineStr">
        <is>
          <t>Mandatory</t>
        </is>
      </c>
      <c r="B38" s="8" t="inlineStr">
        <is>
          <t>Natank</t>
        </is>
      </c>
      <c r="C38" s="8" t="n">
        <v>192</v>
      </c>
      <c r="D38" s="8" t="n">
        <v>590</v>
      </c>
      <c r="E38" s="8" t="n">
        <v>418</v>
      </c>
      <c r="F38" s="8" t="n">
        <v>362</v>
      </c>
      <c r="G38" s="8" t="n">
        <v>147</v>
      </c>
      <c r="H38" s="8" t="n">
        <v>52</v>
      </c>
      <c r="I38" s="8" t="n">
        <v>54</v>
      </c>
      <c r="J38" s="8" t="n">
        <v>1.15</v>
      </c>
      <c r="K38" s="8" t="n">
        <v>1.56</v>
      </c>
      <c r="L38" s="8" t="n">
        <v>0.49</v>
      </c>
      <c r="M38" s="8" t="n">
        <v>62</v>
      </c>
      <c r="N38" s="8" t="n">
        <v>14</v>
      </c>
      <c r="O38" s="8" t="n">
        <v>0.23</v>
      </c>
      <c r="P38" s="8" t="n">
        <v>0.75</v>
      </c>
      <c r="Q38" s="8" t="n">
        <v>0.0024</v>
      </c>
    </row>
    <row r="39">
      <c r="A39" s="12" t="inlineStr">
        <is>
          <t>Misa Esports</t>
        </is>
      </c>
      <c r="B39" s="12" t="inlineStr">
        <is>
          <t>QutionerX</t>
        </is>
      </c>
      <c r="C39" s="12" t="n">
        <v>227</v>
      </c>
      <c r="D39" s="12" t="n">
        <v>497</v>
      </c>
      <c r="E39" s="12" t="n">
        <v>415</v>
      </c>
      <c r="F39" s="12" t="n">
        <v>355</v>
      </c>
      <c r="G39" s="12" t="n">
        <v>83</v>
      </c>
      <c r="H39" s="12" t="n">
        <v>77</v>
      </c>
      <c r="I39" s="12" t="n">
        <v>55</v>
      </c>
      <c r="J39" s="12" t="n">
        <v>1.17</v>
      </c>
      <c r="K39" s="12" t="n">
        <v>1.4</v>
      </c>
      <c r="L39" s="12" t="n">
        <v>0.58</v>
      </c>
      <c r="M39" s="12" t="n">
        <v>49</v>
      </c>
      <c r="N39" s="12" t="n">
        <v>6</v>
      </c>
      <c r="O39" s="12" t="n">
        <v>0.12</v>
      </c>
      <c r="P39" s="12" t="n">
        <v>0.76</v>
      </c>
      <c r="Q39" s="12" t="n">
        <v>0.1349</v>
      </c>
    </row>
    <row r="40">
      <c r="A40" s="8" t="inlineStr">
        <is>
          <t>Barça eSports</t>
        </is>
      </c>
      <c r="B40" s="8" t="inlineStr">
        <is>
          <t>Fit1nho</t>
        </is>
      </c>
      <c r="C40" s="8" t="n">
        <v>181</v>
      </c>
      <c r="D40" s="8" t="n">
        <v>637</v>
      </c>
      <c r="E40" s="8" t="n">
        <v>410</v>
      </c>
      <c r="F40" s="8" t="n">
        <v>415</v>
      </c>
      <c r="G40" s="8" t="n">
        <v>204</v>
      </c>
      <c r="H40" s="8" t="n">
        <v>53</v>
      </c>
      <c r="I40" s="8" t="n">
        <v>48</v>
      </c>
      <c r="J40" s="8" t="n">
        <v>0.99</v>
      </c>
      <c r="K40" s="8" t="n">
        <v>1.48</v>
      </c>
      <c r="L40" s="8" t="n">
        <v>0.52</v>
      </c>
      <c r="M40" s="8" t="n">
        <v>79</v>
      </c>
      <c r="N40" s="8" t="n">
        <v>18</v>
      </c>
      <c r="O40" s="8" t="n">
        <v>0.23</v>
      </c>
      <c r="P40" s="8" t="n">
        <v>0.75</v>
      </c>
      <c r="Q40" s="8" t="n">
        <v>0.0098</v>
      </c>
    </row>
    <row r="41">
      <c r="A41" s="12" t="inlineStr">
        <is>
          <t>S2G Esports</t>
        </is>
      </c>
      <c r="B41" s="12" t="inlineStr">
        <is>
          <t>hezacoil</t>
        </is>
      </c>
      <c r="C41" s="12" t="n">
        <v>177</v>
      </c>
      <c r="D41" s="12" t="n">
        <v>641</v>
      </c>
      <c r="E41" s="12" t="n">
        <v>409</v>
      </c>
      <c r="F41" s="12" t="n">
        <v>411</v>
      </c>
      <c r="G41" s="12" t="n">
        <v>229</v>
      </c>
      <c r="H41" s="12" t="n">
        <v>39</v>
      </c>
      <c r="I41" s="12" t="n">
        <v>37</v>
      </c>
      <c r="J41" s="12" t="n">
        <v>1</v>
      </c>
      <c r="K41" s="12" t="n">
        <v>1.55</v>
      </c>
      <c r="L41" s="12" t="n">
        <v>0.51</v>
      </c>
      <c r="M41" s="12" t="n">
        <v>115</v>
      </c>
      <c r="N41" s="12" t="n">
        <v>20</v>
      </c>
      <c r="O41" s="12" t="n">
        <v>0.17</v>
      </c>
      <c r="P41" s="12" t="n">
        <v>0.76</v>
      </c>
      <c r="Q41" s="12" t="n">
        <v>0.0024</v>
      </c>
    </row>
    <row r="42">
      <c r="A42" s="8" t="inlineStr">
        <is>
          <t>Enterprise Esports</t>
        </is>
      </c>
      <c r="B42" s="8" t="inlineStr">
        <is>
          <t>MAGNUM</t>
        </is>
      </c>
      <c r="C42" s="8" t="n">
        <v>216</v>
      </c>
      <c r="D42" s="8" t="n">
        <v>528</v>
      </c>
      <c r="E42" s="8" t="n">
        <v>401</v>
      </c>
      <c r="F42" s="8" t="n">
        <v>321</v>
      </c>
      <c r="G42" s="8" t="n">
        <v>139</v>
      </c>
      <c r="H42" s="8" t="n">
        <v>55</v>
      </c>
      <c r="I42" s="8" t="n">
        <v>47</v>
      </c>
      <c r="J42" s="8" t="n">
        <v>1.25</v>
      </c>
      <c r="K42" s="8" t="n">
        <v>1.68</v>
      </c>
      <c r="L42" s="8" t="n">
        <v>0.54</v>
      </c>
      <c r="M42" s="8" t="n">
        <v>48</v>
      </c>
      <c r="N42" s="8" t="n">
        <v>10</v>
      </c>
      <c r="O42" s="8" t="n">
        <v>0.21</v>
      </c>
      <c r="P42" s="8" t="n">
        <v>0.77</v>
      </c>
      <c r="Q42" s="8" t="n">
        <v>0.0075</v>
      </c>
    </row>
    <row r="43">
      <c r="A43" s="12" t="inlineStr">
        <is>
          <t>S2G Esports</t>
        </is>
      </c>
      <c r="B43" s="12" t="inlineStr">
        <is>
          <t>batujnax</t>
        </is>
      </c>
      <c r="C43" s="12" t="n">
        <v>180</v>
      </c>
      <c r="D43" s="12" t="n">
        <v>641</v>
      </c>
      <c r="E43" s="12" t="n">
        <v>395</v>
      </c>
      <c r="F43" s="12" t="n">
        <v>441</v>
      </c>
      <c r="G43" s="12" t="n">
        <v>186</v>
      </c>
      <c r="H43" s="12" t="n">
        <v>39</v>
      </c>
      <c r="I43" s="12" t="n">
        <v>53</v>
      </c>
      <c r="J43" s="12" t="n">
        <v>0.9</v>
      </c>
      <c r="K43" s="12" t="n">
        <v>1.32</v>
      </c>
      <c r="L43" s="12" t="n">
        <v>0.42</v>
      </c>
      <c r="M43" s="12" t="n">
        <v>78</v>
      </c>
      <c r="N43" s="12" t="n">
        <v>13</v>
      </c>
      <c r="O43" s="12" t="n">
        <v>0.17</v>
      </c>
      <c r="P43" s="12" t="n">
        <v>0.72</v>
      </c>
      <c r="Q43" s="12" t="n">
        <v>0.0101</v>
      </c>
    </row>
    <row r="44">
      <c r="A44" s="8" t="inlineStr">
        <is>
          <t>Stallions Esports</t>
        </is>
      </c>
      <c r="B44" s="8" t="inlineStr">
        <is>
          <t>Avvix</t>
        </is>
      </c>
      <c r="C44" s="8" t="n">
        <v>168</v>
      </c>
      <c r="D44" s="8" t="n">
        <v>641</v>
      </c>
      <c r="E44" s="8" t="n">
        <v>394</v>
      </c>
      <c r="F44" s="8" t="n">
        <v>356</v>
      </c>
      <c r="G44" s="8" t="n">
        <v>180</v>
      </c>
      <c r="H44" s="8" t="n">
        <v>30</v>
      </c>
      <c r="I44" s="8" t="n">
        <v>23</v>
      </c>
      <c r="J44" s="8" t="n">
        <v>1.11</v>
      </c>
      <c r="K44" s="8" t="n">
        <v>1.61</v>
      </c>
      <c r="L44" s="8" t="n">
        <v>0.57</v>
      </c>
      <c r="M44" s="8" t="n">
        <v>107</v>
      </c>
      <c r="N44" s="8" t="n">
        <v>20</v>
      </c>
      <c r="O44" s="8" t="n">
        <v>0.19</v>
      </c>
      <c r="P44" s="8" t="n">
        <v>0.76</v>
      </c>
      <c r="Q44" s="8" t="n">
        <v>0</v>
      </c>
    </row>
    <row r="45">
      <c r="A45" s="12" t="inlineStr">
        <is>
          <t>Mandatory</t>
        </is>
      </c>
      <c r="B45" s="12" t="inlineStr">
        <is>
          <t>kAdavra</t>
        </is>
      </c>
      <c r="C45" s="12" t="n">
        <v>180</v>
      </c>
      <c r="D45" s="12" t="n">
        <v>590</v>
      </c>
      <c r="E45" s="12" t="n">
        <v>392</v>
      </c>
      <c r="F45" s="12" t="n">
        <v>372</v>
      </c>
      <c r="G45" s="12" t="n">
        <v>160</v>
      </c>
      <c r="H45" s="12" t="n">
        <v>43</v>
      </c>
      <c r="I45" s="12" t="n">
        <v>27</v>
      </c>
      <c r="J45" s="12" t="n">
        <v>1.05</v>
      </c>
      <c r="K45" s="12" t="n">
        <v>1.48</v>
      </c>
      <c r="L45" s="12" t="n">
        <v>0.61</v>
      </c>
      <c r="M45" s="12" t="n">
        <v>65</v>
      </c>
      <c r="N45" s="12" t="n">
        <v>10</v>
      </c>
      <c r="O45" s="12" t="n">
        <v>0.15</v>
      </c>
      <c r="P45" s="12" t="n">
        <v>0.75</v>
      </c>
      <c r="Q45" s="12" t="n">
        <v>0.0051</v>
      </c>
    </row>
    <row r="46">
      <c r="A46" s="8" t="inlineStr">
        <is>
          <t>Enterprise Esports</t>
        </is>
      </c>
      <c r="B46" s="8" t="inlineStr">
        <is>
          <t>Proxh</t>
        </is>
      </c>
      <c r="C46" s="8" t="n">
        <v>206</v>
      </c>
      <c r="D46" s="8" t="n">
        <v>528</v>
      </c>
      <c r="E46" s="8" t="n">
        <v>389</v>
      </c>
      <c r="F46" s="8" t="n">
        <v>307</v>
      </c>
      <c r="G46" s="8" t="n">
        <v>218</v>
      </c>
      <c r="H46" s="8" t="n">
        <v>38</v>
      </c>
      <c r="I46" s="8" t="n">
        <v>26</v>
      </c>
      <c r="J46" s="8" t="n">
        <v>1.27</v>
      </c>
      <c r="K46" s="8" t="n">
        <v>1.98</v>
      </c>
      <c r="L46" s="8" t="n">
        <v>0.59</v>
      </c>
      <c r="M46" s="8" t="n">
        <v>55</v>
      </c>
      <c r="N46" s="8" t="n">
        <v>10</v>
      </c>
      <c r="O46" s="8" t="n">
        <v>0.18</v>
      </c>
      <c r="P46" s="8" t="n">
        <v>0.8</v>
      </c>
      <c r="Q46" s="8" t="n">
        <v>0.0154</v>
      </c>
    </row>
    <row r="47">
      <c r="A47" s="12" t="inlineStr">
        <is>
          <t>Enterprise Esports</t>
        </is>
      </c>
      <c r="B47" s="12" t="inlineStr">
        <is>
          <t>Lime</t>
        </is>
      </c>
      <c r="C47" s="12" t="n">
        <v>198</v>
      </c>
      <c r="D47" s="12" t="n">
        <v>528</v>
      </c>
      <c r="E47" s="12" t="n">
        <v>384</v>
      </c>
      <c r="F47" s="12" t="n">
        <v>333</v>
      </c>
      <c r="G47" s="12" t="n">
        <v>133</v>
      </c>
      <c r="H47" s="12" t="n">
        <v>69</v>
      </c>
      <c r="I47" s="12" t="n">
        <v>63</v>
      </c>
      <c r="J47" s="12" t="n">
        <v>1.15</v>
      </c>
      <c r="K47" s="12" t="n">
        <v>1.55</v>
      </c>
      <c r="L47" s="12" t="n">
        <v>0.52</v>
      </c>
      <c r="M47" s="12" t="n">
        <v>38</v>
      </c>
      <c r="N47" s="12" t="n">
        <v>5</v>
      </c>
      <c r="O47" s="12" t="n">
        <v>0.13</v>
      </c>
      <c r="P47" s="12" t="n">
        <v>0.8</v>
      </c>
      <c r="Q47" s="12" t="n">
        <v>0.1615</v>
      </c>
    </row>
    <row r="48">
      <c r="A48" s="8" t="inlineStr">
        <is>
          <t>Misa Esports</t>
        </is>
      </c>
      <c r="B48" s="8" t="inlineStr">
        <is>
          <t>Elite</t>
        </is>
      </c>
      <c r="C48" s="8" t="n">
        <v>213</v>
      </c>
      <c r="D48" s="8" t="n">
        <v>497</v>
      </c>
      <c r="E48" s="8" t="n">
        <v>377</v>
      </c>
      <c r="F48" s="8" t="n">
        <v>307</v>
      </c>
      <c r="G48" s="8" t="n">
        <v>137</v>
      </c>
      <c r="H48" s="8" t="n">
        <v>46</v>
      </c>
      <c r="I48" s="8" t="n">
        <v>43</v>
      </c>
      <c r="J48" s="8" t="n">
        <v>1.23</v>
      </c>
      <c r="K48" s="8" t="n">
        <v>1.67</v>
      </c>
      <c r="L48" s="8" t="n">
        <v>0.52</v>
      </c>
      <c r="M48" s="8" t="n">
        <v>70</v>
      </c>
      <c r="N48" s="8" t="n">
        <v>18</v>
      </c>
      <c r="O48" s="8" t="n">
        <v>0.26</v>
      </c>
      <c r="P48" s="8" t="n">
        <v>0.76</v>
      </c>
      <c r="Q48" s="8" t="n">
        <v>0.0027</v>
      </c>
    </row>
    <row r="49">
      <c r="A49" s="12" t="inlineStr">
        <is>
          <t>Misa Esports</t>
        </is>
      </c>
      <c r="B49" s="12" t="inlineStr">
        <is>
          <t>burzzy</t>
        </is>
      </c>
      <c r="C49" s="12" t="n">
        <v>210</v>
      </c>
      <c r="D49" s="12" t="n">
        <v>497</v>
      </c>
      <c r="E49" s="12" t="n">
        <v>371</v>
      </c>
      <c r="F49" s="12" t="n">
        <v>329</v>
      </c>
      <c r="G49" s="12" t="n">
        <v>188</v>
      </c>
      <c r="H49" s="12" t="n">
        <v>46</v>
      </c>
      <c r="I49" s="12" t="n">
        <v>31</v>
      </c>
      <c r="J49" s="12" t="n">
        <v>1.13</v>
      </c>
      <c r="K49" s="12" t="n">
        <v>1.7</v>
      </c>
      <c r="L49" s="12" t="n">
        <v>0.6</v>
      </c>
      <c r="M49" s="12" t="n">
        <v>41</v>
      </c>
      <c r="N49" s="12" t="n">
        <v>15</v>
      </c>
      <c r="O49" s="12" t="n">
        <v>0.37</v>
      </c>
      <c r="P49" s="12" t="n">
        <v>0.78</v>
      </c>
      <c r="Q49" s="12" t="n">
        <v>0.0027</v>
      </c>
    </row>
    <row r="50">
      <c r="A50" s="8" t="inlineStr">
        <is>
          <t>Enterprise Esports</t>
        </is>
      </c>
      <c r="B50" s="8" t="inlineStr">
        <is>
          <t>kozzy</t>
        </is>
      </c>
      <c r="C50" s="8" t="n">
        <v>271</v>
      </c>
      <c r="D50" s="8" t="n">
        <v>373</v>
      </c>
      <c r="E50" s="8" t="n">
        <v>367</v>
      </c>
      <c r="F50" s="8" t="n">
        <v>244</v>
      </c>
      <c r="G50" s="8" t="n">
        <v>76</v>
      </c>
      <c r="H50" s="8" t="n">
        <v>83</v>
      </c>
      <c r="I50" s="8" t="n">
        <v>43</v>
      </c>
      <c r="J50" s="8" t="n">
        <v>1.5</v>
      </c>
      <c r="K50" s="8" t="n">
        <v>1.82</v>
      </c>
      <c r="L50" s="8" t="n">
        <v>0.66</v>
      </c>
      <c r="M50" s="8" t="n">
        <v>25</v>
      </c>
      <c r="N50" s="8" t="n">
        <v>1</v>
      </c>
      <c r="O50" s="8" t="n">
        <v>0.04</v>
      </c>
      <c r="P50" s="8" t="n">
        <v>0.8</v>
      </c>
      <c r="Q50" s="8" t="n">
        <v>0.0463</v>
      </c>
    </row>
    <row r="51">
      <c r="A51" s="12" t="inlineStr">
        <is>
          <t>Misa Esports</t>
        </is>
      </c>
      <c r="B51" s="12" t="inlineStr">
        <is>
          <t>Brave</t>
        </is>
      </c>
      <c r="C51" s="12" t="n">
        <v>197</v>
      </c>
      <c r="D51" s="12" t="n">
        <v>497</v>
      </c>
      <c r="E51" s="12" t="n">
        <v>350</v>
      </c>
      <c r="F51" s="12" t="n">
        <v>358</v>
      </c>
      <c r="G51" s="12" t="n">
        <v>134</v>
      </c>
      <c r="H51" s="12" t="n">
        <v>53</v>
      </c>
      <c r="I51" s="12" t="n">
        <v>55</v>
      </c>
      <c r="J51" s="12" t="n">
        <v>0.98</v>
      </c>
      <c r="K51" s="12" t="n">
        <v>1.35</v>
      </c>
      <c r="L51" s="12" t="n">
        <v>0.49</v>
      </c>
      <c r="M51" s="12" t="n">
        <v>41</v>
      </c>
      <c r="N51" s="12" t="n">
        <v>6</v>
      </c>
      <c r="O51" s="12" t="n">
        <v>0.15</v>
      </c>
      <c r="P51" s="12" t="n">
        <v>0.75</v>
      </c>
      <c r="Q51" s="12" t="n">
        <v>0</v>
      </c>
    </row>
    <row r="52">
      <c r="A52" s="8" t="inlineStr">
        <is>
          <t>Team Liquid Academy</t>
        </is>
      </c>
      <c r="B52" s="8" t="inlineStr">
        <is>
          <t>GSR</t>
        </is>
      </c>
      <c r="C52" s="8" t="n">
        <v>246</v>
      </c>
      <c r="D52" s="8" t="n">
        <v>391</v>
      </c>
      <c r="E52" s="8" t="n">
        <v>349</v>
      </c>
      <c r="F52" s="8" t="n">
        <v>226</v>
      </c>
      <c r="G52" s="8" t="n">
        <v>100</v>
      </c>
      <c r="H52" s="8" t="n">
        <v>62</v>
      </c>
      <c r="I52" s="8" t="n">
        <v>40</v>
      </c>
      <c r="J52" s="8" t="n">
        <v>1.54</v>
      </c>
      <c r="K52" s="8" t="n">
        <v>1.99</v>
      </c>
      <c r="L52" s="8" t="n">
        <v>0.61</v>
      </c>
      <c r="M52" s="8" t="n">
        <v>39</v>
      </c>
      <c r="N52" s="8" t="n">
        <v>10</v>
      </c>
      <c r="O52" s="8" t="n">
        <v>0.26</v>
      </c>
      <c r="P52" s="8" t="n">
        <v>0.8</v>
      </c>
      <c r="Q52" s="8" t="n">
        <v>0.1289</v>
      </c>
    </row>
    <row r="53">
      <c r="A53" s="12" t="inlineStr">
        <is>
          <t>GnG Amazigh</t>
        </is>
      </c>
      <c r="B53" s="12" t="inlineStr">
        <is>
          <t>Tenkai</t>
        </is>
      </c>
      <c r="C53" s="12" t="n">
        <v>183</v>
      </c>
      <c r="D53" s="12" t="n">
        <v>507</v>
      </c>
      <c r="E53" s="12" t="n">
        <v>335</v>
      </c>
      <c r="F53" s="12" t="n">
        <v>355</v>
      </c>
      <c r="G53" s="12" t="n">
        <v>138</v>
      </c>
      <c r="H53" s="12" t="n">
        <v>69</v>
      </c>
      <c r="I53" s="12" t="n">
        <v>79</v>
      </c>
      <c r="J53" s="12" t="n">
        <v>0.9399999999999999</v>
      </c>
      <c r="K53" s="12" t="n">
        <v>1.33</v>
      </c>
      <c r="L53" s="12" t="n">
        <v>0.47</v>
      </c>
      <c r="M53" s="12" t="n">
        <v>34</v>
      </c>
      <c r="N53" s="12" t="n">
        <v>6</v>
      </c>
      <c r="O53" s="12" t="n">
        <v>0.18</v>
      </c>
      <c r="P53" s="12" t="n">
        <v>0.74</v>
      </c>
      <c r="Q53" s="12" t="n">
        <v>0.0328</v>
      </c>
    </row>
    <row r="54">
      <c r="A54" s="8" t="inlineStr">
        <is>
          <t>Team Liquid Academy</t>
        </is>
      </c>
      <c r="B54" s="8" t="inlineStr">
        <is>
          <t>Wanzeru</t>
        </is>
      </c>
      <c r="C54" s="8" t="n">
        <v>237</v>
      </c>
      <c r="D54" s="8" t="n">
        <v>391</v>
      </c>
      <c r="E54" s="8" t="n">
        <v>328</v>
      </c>
      <c r="F54" s="8" t="n">
        <v>244</v>
      </c>
      <c r="G54" s="8" t="n">
        <v>93</v>
      </c>
      <c r="H54" s="8" t="n">
        <v>67</v>
      </c>
      <c r="I54" s="8" t="n">
        <v>60</v>
      </c>
      <c r="J54" s="8" t="n">
        <v>1.34</v>
      </c>
      <c r="K54" s="8" t="n">
        <v>1.73</v>
      </c>
      <c r="L54" s="8" t="n">
        <v>0.53</v>
      </c>
      <c r="M54" s="8" t="n">
        <v>34</v>
      </c>
      <c r="N54" s="8" t="n">
        <v>11</v>
      </c>
      <c r="O54" s="8" t="n">
        <v>0.32</v>
      </c>
      <c r="P54" s="8" t="n">
        <v>0.77</v>
      </c>
      <c r="Q54" s="8" t="n">
        <v>0.0915</v>
      </c>
    </row>
    <row r="55">
      <c r="A55" s="12" t="inlineStr">
        <is>
          <t>GnG Amazigh</t>
        </is>
      </c>
      <c r="B55" s="12" t="inlineStr">
        <is>
          <t>OUKA</t>
        </is>
      </c>
      <c r="C55" s="12" t="n">
        <v>213</v>
      </c>
      <c r="D55" s="12" t="n">
        <v>421</v>
      </c>
      <c r="E55" s="12" t="n">
        <v>328</v>
      </c>
      <c r="F55" s="12" t="n">
        <v>318</v>
      </c>
      <c r="G55" s="12" t="n">
        <v>82</v>
      </c>
      <c r="H55" s="12" t="n">
        <v>71</v>
      </c>
      <c r="I55" s="12" t="n">
        <v>64</v>
      </c>
      <c r="J55" s="12" t="n">
        <v>1.03</v>
      </c>
      <c r="K55" s="12" t="n">
        <v>1.29</v>
      </c>
      <c r="L55" s="12" t="n">
        <v>0.53</v>
      </c>
      <c r="M55" s="12" t="n">
        <v>23</v>
      </c>
      <c r="N55" s="12" t="n">
        <v>3</v>
      </c>
      <c r="O55" s="12" t="n">
        <v>0.13</v>
      </c>
      <c r="P55" s="12" t="n">
        <v>0.71</v>
      </c>
      <c r="Q55" s="12" t="n">
        <v>0.08840000000000001</v>
      </c>
    </row>
    <row r="56">
      <c r="A56" s="8" t="inlineStr">
        <is>
          <t>Barça eSports</t>
        </is>
      </c>
      <c r="B56" s="8" t="inlineStr">
        <is>
          <t>Kajuks</t>
        </is>
      </c>
      <c r="C56" s="8" t="n">
        <v>172</v>
      </c>
      <c r="D56" s="8" t="n">
        <v>537</v>
      </c>
      <c r="E56" s="8" t="n">
        <v>327</v>
      </c>
      <c r="F56" s="8" t="n">
        <v>340</v>
      </c>
      <c r="G56" s="8" t="n">
        <v>168</v>
      </c>
      <c r="H56" s="8" t="n">
        <v>44</v>
      </c>
      <c r="I56" s="8" t="n">
        <v>46</v>
      </c>
      <c r="J56" s="8" t="n">
        <v>0.96</v>
      </c>
      <c r="K56" s="8" t="n">
        <v>1.46</v>
      </c>
      <c r="L56" s="8" t="n">
        <v>0.49</v>
      </c>
      <c r="M56" s="8" t="n">
        <v>63</v>
      </c>
      <c r="N56" s="8" t="n">
        <v>10</v>
      </c>
      <c r="O56" s="8" t="n">
        <v>0.16</v>
      </c>
      <c r="P56" s="8" t="n">
        <v>0.74</v>
      </c>
      <c r="Q56" s="8" t="n">
        <v>0.0031</v>
      </c>
    </row>
    <row r="57">
      <c r="A57" s="12" t="inlineStr">
        <is>
          <t>Stallions Esports</t>
        </is>
      </c>
      <c r="B57" s="12" t="inlineStr">
        <is>
          <t>AL7B</t>
        </is>
      </c>
      <c r="C57" s="12" t="n">
        <v>171</v>
      </c>
      <c r="D57" s="12" t="n">
        <v>515</v>
      </c>
      <c r="E57" s="12" t="n">
        <v>321</v>
      </c>
      <c r="F57" s="12" t="n">
        <v>322</v>
      </c>
      <c r="G57" s="12" t="n">
        <v>179</v>
      </c>
      <c r="H57" s="12" t="n">
        <v>25</v>
      </c>
      <c r="I57" s="12" t="n">
        <v>24</v>
      </c>
      <c r="J57" s="12" t="n">
        <v>1</v>
      </c>
      <c r="K57" s="12" t="n">
        <v>1.55</v>
      </c>
      <c r="L57" s="12" t="n">
        <v>0.51</v>
      </c>
      <c r="M57" s="12" t="n">
        <v>67</v>
      </c>
      <c r="N57" s="12" t="n">
        <v>9</v>
      </c>
      <c r="O57" s="12" t="n">
        <v>0.13</v>
      </c>
      <c r="P57" s="12" t="n">
        <v>0.77</v>
      </c>
      <c r="Q57" s="12" t="n">
        <v>0.0031</v>
      </c>
    </row>
    <row r="58">
      <c r="A58" s="8" t="inlineStr">
        <is>
          <t>Enterprise Esports</t>
        </is>
      </c>
      <c r="B58" s="8" t="inlineStr">
        <is>
          <t>iluri</t>
        </is>
      </c>
      <c r="C58" s="8" t="n">
        <v>158</v>
      </c>
      <c r="D58" s="8" t="n">
        <v>528</v>
      </c>
      <c r="E58" s="8" t="n">
        <v>314</v>
      </c>
      <c r="F58" s="8" t="n">
        <v>305</v>
      </c>
      <c r="G58" s="8" t="n">
        <v>127</v>
      </c>
      <c r="H58" s="8" t="n">
        <v>24</v>
      </c>
      <c r="I58" s="8" t="n">
        <v>21</v>
      </c>
      <c r="J58" s="8" t="n">
        <v>1.03</v>
      </c>
      <c r="K58" s="8" t="n">
        <v>1.45</v>
      </c>
      <c r="L58" s="8" t="n">
        <v>0.53</v>
      </c>
      <c r="M58" s="8" t="n">
        <v>66</v>
      </c>
      <c r="N58" s="8" t="n">
        <v>7</v>
      </c>
      <c r="O58" s="8" t="n">
        <v>0.11</v>
      </c>
      <c r="P58" s="8" t="n">
        <v>0.74</v>
      </c>
      <c r="Q58" s="8" t="n">
        <v>0.0032</v>
      </c>
    </row>
    <row r="59">
      <c r="A59" s="12" t="inlineStr">
        <is>
          <t>GnG Amazigh</t>
        </is>
      </c>
      <c r="B59" s="12" t="inlineStr">
        <is>
          <t>Snop</t>
        </is>
      </c>
      <c r="C59" s="12" t="n">
        <v>182</v>
      </c>
      <c r="D59" s="12" t="n">
        <v>478</v>
      </c>
      <c r="E59" s="12" t="n">
        <v>310</v>
      </c>
      <c r="F59" s="12" t="n">
        <v>345</v>
      </c>
      <c r="G59" s="12" t="n">
        <v>95</v>
      </c>
      <c r="H59" s="12" t="n">
        <v>70</v>
      </c>
      <c r="I59" s="12" t="n">
        <v>65</v>
      </c>
      <c r="J59" s="12" t="n">
        <v>0.9</v>
      </c>
      <c r="K59" s="12" t="n">
        <v>1.17</v>
      </c>
      <c r="L59" s="12" t="n">
        <v>0.52</v>
      </c>
      <c r="M59" s="12" t="n">
        <v>12</v>
      </c>
      <c r="N59" s="12" t="n">
        <v>2</v>
      </c>
      <c r="O59" s="12" t="n">
        <v>0.17</v>
      </c>
      <c r="P59" s="12" t="n">
        <v>0.72</v>
      </c>
      <c r="Q59" s="12" t="n">
        <v>0.1032</v>
      </c>
    </row>
    <row r="60">
      <c r="A60" s="8" t="inlineStr">
        <is>
          <t>Misa Esports</t>
        </is>
      </c>
      <c r="B60" s="8" t="inlineStr">
        <is>
          <t>pAura</t>
        </is>
      </c>
      <c r="C60" s="8" t="n">
        <v>171</v>
      </c>
      <c r="D60" s="8" t="n">
        <v>497</v>
      </c>
      <c r="E60" s="8" t="n">
        <v>298</v>
      </c>
      <c r="F60" s="8" t="n">
        <v>328</v>
      </c>
      <c r="G60" s="8" t="n">
        <v>144</v>
      </c>
      <c r="H60" s="8" t="n">
        <v>33</v>
      </c>
      <c r="I60" s="8" t="n">
        <v>58</v>
      </c>
      <c r="J60" s="8" t="n">
        <v>0.91</v>
      </c>
      <c r="K60" s="8" t="n">
        <v>1.35</v>
      </c>
      <c r="L60" s="8" t="n">
        <v>0.36</v>
      </c>
      <c r="M60" s="8" t="n">
        <v>61</v>
      </c>
      <c r="N60" s="8" t="n">
        <v>9</v>
      </c>
      <c r="O60" s="8" t="n">
        <v>0.15</v>
      </c>
      <c r="P60" s="8" t="n">
        <v>0.72</v>
      </c>
      <c r="Q60" s="8" t="n">
        <v>0</v>
      </c>
    </row>
    <row r="61">
      <c r="A61" s="12" t="inlineStr">
        <is>
          <t>Team Liquid Academy</t>
        </is>
      </c>
      <c r="B61" s="12" t="inlineStr">
        <is>
          <t>rexxtoned</t>
        </is>
      </c>
      <c r="C61" s="12" t="n">
        <v>206</v>
      </c>
      <c r="D61" s="12" t="n">
        <v>391</v>
      </c>
      <c r="E61" s="12" t="n">
        <v>291</v>
      </c>
      <c r="F61" s="12" t="n">
        <v>241</v>
      </c>
      <c r="G61" s="12" t="n">
        <v>103</v>
      </c>
      <c r="H61" s="12" t="n">
        <v>36</v>
      </c>
      <c r="I61" s="12" t="n">
        <v>29</v>
      </c>
      <c r="J61" s="12" t="n">
        <v>1.21</v>
      </c>
      <c r="K61" s="12" t="n">
        <v>1.63</v>
      </c>
      <c r="L61" s="12" t="n">
        <v>0.55</v>
      </c>
      <c r="M61" s="12" t="n">
        <v>50</v>
      </c>
      <c r="N61" s="12" t="n">
        <v>8</v>
      </c>
      <c r="O61" s="12" t="n">
        <v>0.16</v>
      </c>
      <c r="P61" s="12" t="n">
        <v>0.76</v>
      </c>
      <c r="Q61" s="12" t="n">
        <v>0.0103</v>
      </c>
    </row>
    <row r="62">
      <c r="A62" s="8" t="inlineStr">
        <is>
          <t>Team Liquid Academy</t>
        </is>
      </c>
      <c r="B62" s="8" t="inlineStr">
        <is>
          <t>GSR</t>
        </is>
      </c>
      <c r="C62" s="8" t="n">
        <v>256</v>
      </c>
      <c r="D62" s="8" t="n">
        <v>200</v>
      </c>
      <c r="E62" s="8" t="n">
        <v>189</v>
      </c>
      <c r="F62" s="8" t="n">
        <v>133</v>
      </c>
      <c r="G62" s="8" t="n">
        <v>38</v>
      </c>
      <c r="H62" s="8" t="n">
        <v>27</v>
      </c>
      <c r="I62" s="8" t="n">
        <v>32</v>
      </c>
      <c r="J62" s="8" t="n">
        <v>1.42</v>
      </c>
      <c r="K62" s="8" t="n">
        <v>1.71</v>
      </c>
      <c r="L62" s="8" t="n">
        <v>0.46</v>
      </c>
      <c r="M62" s="8" t="n">
        <v>11</v>
      </c>
      <c r="N62" s="8" t="n">
        <v>3</v>
      </c>
      <c r="O62" s="8" t="n">
        <v>0.27</v>
      </c>
      <c r="P62" s="8" t="n">
        <v>0.73</v>
      </c>
      <c r="Q62" s="8" t="n">
        <v>0.0317</v>
      </c>
    </row>
    <row r="63">
      <c r="A63" s="12" t="inlineStr">
        <is>
          <t>Pixel Lumina</t>
        </is>
      </c>
      <c r="B63" s="12" t="inlineStr">
        <is>
          <t>Szimpli</t>
        </is>
      </c>
      <c r="C63" s="12" t="n">
        <v>210</v>
      </c>
      <c r="D63" s="12" t="n">
        <v>255</v>
      </c>
      <c r="E63" s="12" t="n">
        <v>188</v>
      </c>
      <c r="F63" s="12" t="n">
        <v>198</v>
      </c>
      <c r="G63" s="12" t="n">
        <v>49</v>
      </c>
      <c r="H63" s="12" t="n">
        <v>37</v>
      </c>
      <c r="I63" s="12" t="n">
        <v>37</v>
      </c>
      <c r="J63" s="12" t="n">
        <v>0.95</v>
      </c>
      <c r="K63" s="12" t="n">
        <v>1.2</v>
      </c>
      <c r="L63" s="12" t="n">
        <v>0.5</v>
      </c>
      <c r="M63" s="12" t="n">
        <v>14</v>
      </c>
      <c r="N63" s="12" t="n">
        <v>4</v>
      </c>
      <c r="O63" s="12" t="n">
        <v>0.29</v>
      </c>
      <c r="P63" s="12" t="n">
        <v>0.72</v>
      </c>
      <c r="Q63" s="12" t="n">
        <v>0</v>
      </c>
    </row>
    <row r="64">
      <c r="A64" s="8" t="inlineStr">
        <is>
          <t>MIR</t>
        </is>
      </c>
      <c r="B64" s="8" t="inlineStr">
        <is>
          <t>reblyik</t>
        </is>
      </c>
      <c r="C64" s="8" t="n">
        <v>237</v>
      </c>
      <c r="D64" s="8" t="n">
        <v>218</v>
      </c>
      <c r="E64" s="8" t="n">
        <v>186</v>
      </c>
      <c r="F64" s="8" t="n">
        <v>155</v>
      </c>
      <c r="G64" s="8" t="n">
        <v>50</v>
      </c>
      <c r="H64" s="8" t="n">
        <v>22</v>
      </c>
      <c r="I64" s="8" t="n">
        <v>20</v>
      </c>
      <c r="J64" s="8" t="n">
        <v>1.2</v>
      </c>
      <c r="K64" s="8" t="n">
        <v>1.52</v>
      </c>
      <c r="L64" s="8" t="n">
        <v>0.52</v>
      </c>
      <c r="M64" s="8" t="n">
        <v>31</v>
      </c>
      <c r="N64" s="8" t="n">
        <v>4</v>
      </c>
      <c r="O64" s="8" t="n">
        <v>0.13</v>
      </c>
      <c r="P64" s="8" t="n">
        <v>0.73</v>
      </c>
      <c r="Q64" s="8" t="n">
        <v>0</v>
      </c>
    </row>
    <row r="65">
      <c r="A65" s="12" t="inlineStr">
        <is>
          <t>Pixel Lumina</t>
        </is>
      </c>
      <c r="B65" s="12" t="inlineStr">
        <is>
          <t>Chaza</t>
        </is>
      </c>
      <c r="C65" s="12" t="n">
        <v>195</v>
      </c>
      <c r="D65" s="12" t="n">
        <v>255</v>
      </c>
      <c r="E65" s="12" t="n">
        <v>178</v>
      </c>
      <c r="F65" s="12" t="n">
        <v>182</v>
      </c>
      <c r="G65" s="12" t="n">
        <v>45</v>
      </c>
      <c r="H65" s="12" t="n">
        <v>31</v>
      </c>
      <c r="I65" s="12" t="n">
        <v>38</v>
      </c>
      <c r="J65" s="12" t="n">
        <v>0.98</v>
      </c>
      <c r="K65" s="12" t="n">
        <v>1.23</v>
      </c>
      <c r="L65" s="12" t="n">
        <v>0.45</v>
      </c>
      <c r="M65" s="12" t="n">
        <v>22</v>
      </c>
      <c r="N65" s="12" t="n">
        <v>3</v>
      </c>
      <c r="O65" s="12" t="n">
        <v>0.14</v>
      </c>
      <c r="P65" s="12" t="n">
        <v>0.71</v>
      </c>
      <c r="Q65" s="12" t="n">
        <v>0.1517</v>
      </c>
    </row>
    <row r="66">
      <c r="A66" s="8" t="inlineStr">
        <is>
          <t>Pixel Lumina</t>
        </is>
      </c>
      <c r="B66" s="8" t="inlineStr">
        <is>
          <t>Leare</t>
        </is>
      </c>
      <c r="C66" s="8" t="n">
        <v>196</v>
      </c>
      <c r="D66" s="8" t="n">
        <v>255</v>
      </c>
      <c r="E66" s="8" t="n">
        <v>175</v>
      </c>
      <c r="F66" s="8" t="n">
        <v>183</v>
      </c>
      <c r="G66" s="8" t="n">
        <v>78</v>
      </c>
      <c r="H66" s="8" t="n">
        <v>26</v>
      </c>
      <c r="I66" s="8" t="n">
        <v>13</v>
      </c>
      <c r="J66" s="8" t="n">
        <v>0.96</v>
      </c>
      <c r="K66" s="8" t="n">
        <v>1.38</v>
      </c>
      <c r="L66" s="8" t="n">
        <v>0.67</v>
      </c>
      <c r="M66" s="8" t="n">
        <v>33</v>
      </c>
      <c r="N66" s="8" t="n">
        <v>6</v>
      </c>
      <c r="O66" s="8" t="n">
        <v>0.18</v>
      </c>
      <c r="P66" s="8" t="n">
        <v>0.73</v>
      </c>
      <c r="Q66" s="8" t="n">
        <v>0</v>
      </c>
    </row>
    <row r="67">
      <c r="A67" s="12" t="inlineStr">
        <is>
          <t>MIR</t>
        </is>
      </c>
      <c r="B67" s="12" t="inlineStr">
        <is>
          <t>Raz</t>
        </is>
      </c>
      <c r="C67" s="12" t="n">
        <v>205</v>
      </c>
      <c r="D67" s="12" t="n">
        <v>218</v>
      </c>
      <c r="E67" s="12" t="n">
        <v>160</v>
      </c>
      <c r="F67" s="12" t="n">
        <v>156</v>
      </c>
      <c r="G67" s="12" t="n">
        <v>40</v>
      </c>
      <c r="H67" s="12" t="n">
        <v>33</v>
      </c>
      <c r="I67" s="12" t="n">
        <v>37</v>
      </c>
      <c r="J67" s="12" t="n">
        <v>1.03</v>
      </c>
      <c r="K67" s="12" t="n">
        <v>1.28</v>
      </c>
      <c r="L67" s="12" t="n">
        <v>0.47</v>
      </c>
      <c r="M67" s="12" t="n">
        <v>16</v>
      </c>
      <c r="N67" s="12" t="n">
        <v>0</v>
      </c>
      <c r="O67" s="12" t="n">
        <v>0</v>
      </c>
      <c r="P67" s="12" t="n">
        <v>0.76</v>
      </c>
      <c r="Q67" s="12" t="n">
        <v>0.25</v>
      </c>
    </row>
    <row r="68">
      <c r="A68" s="8" t="inlineStr">
        <is>
          <t>Pixel Lumina</t>
        </is>
      </c>
      <c r="B68" s="8" t="inlineStr">
        <is>
          <t>elllement</t>
        </is>
      </c>
      <c r="C68" s="8" t="n">
        <v>173</v>
      </c>
      <c r="D68" s="8" t="n">
        <v>255</v>
      </c>
      <c r="E68" s="8" t="n">
        <v>158</v>
      </c>
      <c r="F68" s="8" t="n">
        <v>181</v>
      </c>
      <c r="G68" s="8" t="n">
        <v>47</v>
      </c>
      <c r="H68" s="8" t="n">
        <v>19</v>
      </c>
      <c r="I68" s="8" t="n">
        <v>19</v>
      </c>
      <c r="J68" s="8" t="n">
        <v>0.87</v>
      </c>
      <c r="K68" s="8" t="n">
        <v>1.13</v>
      </c>
      <c r="L68" s="8" t="n">
        <v>0.5</v>
      </c>
      <c r="M68" s="8" t="n">
        <v>48</v>
      </c>
      <c r="N68" s="8" t="n">
        <v>6</v>
      </c>
      <c r="O68" s="8" t="n">
        <v>0.12</v>
      </c>
      <c r="P68" s="8" t="n">
        <v>0.67</v>
      </c>
      <c r="Q68" s="8" t="n">
        <v>0</v>
      </c>
    </row>
    <row r="69">
      <c r="A69" s="12" t="inlineStr">
        <is>
          <t>MIR</t>
        </is>
      </c>
      <c r="B69" s="12" t="inlineStr">
        <is>
          <t>kospa1n</t>
        </is>
      </c>
      <c r="C69" s="12" t="n">
        <v>207</v>
      </c>
      <c r="D69" s="12" t="n">
        <v>218</v>
      </c>
      <c r="E69" s="12" t="n">
        <v>157</v>
      </c>
      <c r="F69" s="12" t="n">
        <v>153</v>
      </c>
      <c r="G69" s="12" t="n">
        <v>35</v>
      </c>
      <c r="H69" s="12" t="n">
        <v>32</v>
      </c>
      <c r="I69" s="12" t="n">
        <v>19</v>
      </c>
      <c r="J69" s="12" t="n">
        <v>1.03</v>
      </c>
      <c r="K69" s="12" t="n">
        <v>1.25</v>
      </c>
      <c r="L69" s="12" t="n">
        <v>0.63</v>
      </c>
      <c r="M69" s="12" t="n">
        <v>13</v>
      </c>
      <c r="N69" s="12" t="n">
        <v>1</v>
      </c>
      <c r="O69" s="12" t="n">
        <v>0.08</v>
      </c>
      <c r="P69" s="12" t="n">
        <v>0.72</v>
      </c>
      <c r="Q69" s="12" t="n">
        <v>0</v>
      </c>
    </row>
    <row r="70">
      <c r="A70" s="8" t="inlineStr">
        <is>
          <t>Pixel Lumina</t>
        </is>
      </c>
      <c r="B70" s="8" t="inlineStr">
        <is>
          <t>kya</t>
        </is>
      </c>
      <c r="C70" s="8" t="n">
        <v>167</v>
      </c>
      <c r="D70" s="8" t="n">
        <v>255</v>
      </c>
      <c r="E70" s="8" t="n">
        <v>151</v>
      </c>
      <c r="F70" s="8" t="n">
        <v>178</v>
      </c>
      <c r="G70" s="8" t="n">
        <v>49</v>
      </c>
      <c r="H70" s="8" t="n">
        <v>15</v>
      </c>
      <c r="I70" s="8" t="n">
        <v>20</v>
      </c>
      <c r="J70" s="8" t="n">
        <v>0.85</v>
      </c>
      <c r="K70" s="8" t="n">
        <v>1.12</v>
      </c>
      <c r="L70" s="8" t="n">
        <v>0.43</v>
      </c>
      <c r="M70" s="8" t="n">
        <v>33</v>
      </c>
      <c r="N70" s="8" t="n">
        <v>3</v>
      </c>
      <c r="O70" s="8" t="n">
        <v>0.09</v>
      </c>
      <c r="P70" s="8" t="n">
        <v>0.67</v>
      </c>
      <c r="Q70" s="8" t="n">
        <v>0</v>
      </c>
    </row>
    <row r="71">
      <c r="A71" s="12" t="inlineStr">
        <is>
          <t>MIR</t>
        </is>
      </c>
      <c r="B71" s="12" t="inlineStr">
        <is>
          <t>Redgar</t>
        </is>
      </c>
      <c r="C71" s="12" t="n">
        <v>186</v>
      </c>
      <c r="D71" s="12" t="n">
        <v>218</v>
      </c>
      <c r="E71" s="12" t="n">
        <v>150</v>
      </c>
      <c r="F71" s="12" t="n">
        <v>148</v>
      </c>
      <c r="G71" s="12" t="n">
        <v>65</v>
      </c>
      <c r="H71" s="12" t="n">
        <v>8</v>
      </c>
      <c r="I71" s="12" t="n">
        <v>15</v>
      </c>
      <c r="J71" s="12" t="n">
        <v>1.01</v>
      </c>
      <c r="K71" s="12" t="n">
        <v>1.45</v>
      </c>
      <c r="L71" s="12" t="n">
        <v>0.35</v>
      </c>
      <c r="M71" s="12" t="n">
        <v>35</v>
      </c>
      <c r="N71" s="12" t="n">
        <v>5</v>
      </c>
      <c r="O71" s="12" t="n">
        <v>0.14</v>
      </c>
      <c r="P71" s="12" t="n">
        <v>0.75</v>
      </c>
      <c r="Q71" s="12" t="n">
        <v>0.0067</v>
      </c>
    </row>
    <row r="72">
      <c r="A72" s="8" t="inlineStr">
        <is>
          <t>Team Liquid Academy</t>
        </is>
      </c>
      <c r="B72" s="8" t="inlineStr">
        <is>
          <t>rexxtoned</t>
        </is>
      </c>
      <c r="C72" s="8" t="n">
        <v>196</v>
      </c>
      <c r="D72" s="8" t="n">
        <v>200</v>
      </c>
      <c r="E72" s="8" t="n">
        <v>146</v>
      </c>
      <c r="F72" s="8" t="n">
        <v>117</v>
      </c>
      <c r="G72" s="8" t="n">
        <v>47</v>
      </c>
      <c r="H72" s="8" t="n">
        <v>21</v>
      </c>
      <c r="I72" s="8" t="n">
        <v>15</v>
      </c>
      <c r="J72" s="8" t="n">
        <v>1.25</v>
      </c>
      <c r="K72" s="8" t="n">
        <v>1.65</v>
      </c>
      <c r="L72" s="8" t="n">
        <v>0.58</v>
      </c>
      <c r="M72" s="8" t="n">
        <v>33</v>
      </c>
      <c r="N72" s="8" t="n">
        <v>3</v>
      </c>
      <c r="O72" s="8" t="n">
        <v>0.09</v>
      </c>
      <c r="P72" s="8" t="n">
        <v>0.75</v>
      </c>
      <c r="Q72" s="8" t="n">
        <v>0</v>
      </c>
    </row>
    <row r="73">
      <c r="A73" s="12" t="inlineStr">
        <is>
          <t>Enterprise Esports</t>
        </is>
      </c>
      <c r="B73" s="12" t="inlineStr">
        <is>
          <t>swagzor</t>
        </is>
      </c>
      <c r="C73" s="12" t="n">
        <v>235</v>
      </c>
      <c r="D73" s="12" t="n">
        <v>155</v>
      </c>
      <c r="E73" s="12" t="n">
        <v>132</v>
      </c>
      <c r="F73" s="12" t="n">
        <v>108</v>
      </c>
      <c r="G73" s="12" t="n">
        <v>30</v>
      </c>
      <c r="H73" s="12" t="n">
        <v>32</v>
      </c>
      <c r="I73" s="12" t="n">
        <v>27</v>
      </c>
      <c r="J73" s="12" t="n">
        <v>1.22</v>
      </c>
      <c r="K73" s="12" t="n">
        <v>1.5</v>
      </c>
      <c r="L73" s="12" t="n">
        <v>0.54</v>
      </c>
      <c r="M73" s="12" t="n">
        <v>9</v>
      </c>
      <c r="N73" s="12" t="n">
        <v>4</v>
      </c>
      <c r="O73" s="12" t="n">
        <v>0.44</v>
      </c>
      <c r="P73" s="12" t="n">
        <v>0.73</v>
      </c>
      <c r="Q73" s="12" t="n">
        <v>0.0606</v>
      </c>
    </row>
    <row r="74">
      <c r="A74" s="8" t="inlineStr">
        <is>
          <t>Team Liquid Academy</t>
        </is>
      </c>
      <c r="B74" s="8" t="inlineStr">
        <is>
          <t>WanZeru</t>
        </is>
      </c>
      <c r="C74" s="8" t="n">
        <v>186</v>
      </c>
      <c r="D74" s="8" t="n">
        <v>200</v>
      </c>
      <c r="E74" s="8" t="n">
        <v>128</v>
      </c>
      <c r="F74" s="8" t="n">
        <v>146</v>
      </c>
      <c r="G74" s="8" t="n">
        <v>38</v>
      </c>
      <c r="H74" s="8" t="n">
        <v>33</v>
      </c>
      <c r="I74" s="8" t="n">
        <v>29</v>
      </c>
      <c r="J74" s="8" t="n">
        <v>0.88</v>
      </c>
      <c r="K74" s="8" t="n">
        <v>1.14</v>
      </c>
      <c r="L74" s="8" t="n">
        <v>0.53</v>
      </c>
      <c r="M74" s="8" t="n">
        <v>10</v>
      </c>
      <c r="N74" s="8" t="n">
        <v>1</v>
      </c>
      <c r="O74" s="8" t="n">
        <v>0.1</v>
      </c>
      <c r="P74" s="8" t="n">
        <v>0.64</v>
      </c>
      <c r="Q74" s="8" t="n">
        <v>0.1016</v>
      </c>
    </row>
    <row r="75">
      <c r="A75" s="12" t="inlineStr">
        <is>
          <t>MIR</t>
        </is>
      </c>
      <c r="B75" s="12" t="inlineStr">
        <is>
          <t>Bishepss</t>
        </is>
      </c>
      <c r="C75" s="12" t="n">
        <v>158</v>
      </c>
      <c r="D75" s="12" t="n">
        <v>218</v>
      </c>
      <c r="E75" s="12" t="n">
        <v>124</v>
      </c>
      <c r="F75" s="12" t="n">
        <v>151</v>
      </c>
      <c r="G75" s="12" t="n">
        <v>68</v>
      </c>
      <c r="H75" s="12" t="n">
        <v>11</v>
      </c>
      <c r="I75" s="12" t="n">
        <v>21</v>
      </c>
      <c r="J75" s="12" t="n">
        <v>0.82</v>
      </c>
      <c r="K75" s="12" t="n">
        <v>1.27</v>
      </c>
      <c r="L75" s="12" t="n">
        <v>0.34</v>
      </c>
      <c r="M75" s="12" t="n">
        <v>26</v>
      </c>
      <c r="N75" s="12" t="n">
        <v>4</v>
      </c>
      <c r="O75" s="12" t="n">
        <v>0.15</v>
      </c>
      <c r="P75" s="12" t="n">
        <v>0.7</v>
      </c>
      <c r="Q75" s="12" t="n">
        <v>0</v>
      </c>
    </row>
    <row r="76">
      <c r="A76" s="8" t="inlineStr">
        <is>
          <t>Team Liquid Academy</t>
        </is>
      </c>
      <c r="B76" s="8" t="inlineStr">
        <is>
          <t>prti</t>
        </is>
      </c>
      <c r="C76" s="8" t="n">
        <v>132</v>
      </c>
      <c r="D76" s="8" t="n">
        <v>200</v>
      </c>
      <c r="E76" s="8" t="n">
        <v>89</v>
      </c>
      <c r="F76" s="8" t="n">
        <v>142</v>
      </c>
      <c r="G76" s="8" t="n">
        <v>64</v>
      </c>
      <c r="H76" s="8" t="n">
        <v>11</v>
      </c>
      <c r="I76" s="8" t="n">
        <v>17</v>
      </c>
      <c r="J76" s="8" t="n">
        <v>0.63</v>
      </c>
      <c r="K76" s="8" t="n">
        <v>1.08</v>
      </c>
      <c r="L76" s="8" t="n">
        <v>0.39</v>
      </c>
      <c r="M76" s="8" t="n">
        <v>19</v>
      </c>
      <c r="N76" s="8" t="n">
        <v>5</v>
      </c>
      <c r="O76" s="8" t="n">
        <v>0.26</v>
      </c>
      <c r="P76" s="8" t="n">
        <v>0.6899999999999999</v>
      </c>
      <c r="Q76" s="8" t="n">
        <v>0.0225</v>
      </c>
    </row>
    <row r="77">
      <c r="A77" s="12" t="inlineStr">
        <is>
          <t>Stallions Esports</t>
        </is>
      </c>
      <c r="B77" s="12" t="inlineStr">
        <is>
          <t>br1ckzl</t>
        </is>
      </c>
      <c r="C77" s="12" t="n">
        <v>152</v>
      </c>
      <c r="D77" s="12" t="n">
        <v>126</v>
      </c>
      <c r="E77" s="12" t="n">
        <v>74</v>
      </c>
      <c r="F77" s="12" t="n">
        <v>69</v>
      </c>
      <c r="G77" s="12" t="n">
        <v>38</v>
      </c>
      <c r="H77" s="12" t="n">
        <v>6</v>
      </c>
      <c r="I77" s="12" t="n">
        <v>5</v>
      </c>
      <c r="J77" s="12" t="n">
        <v>1.07</v>
      </c>
      <c r="K77" s="12" t="n">
        <v>1.62</v>
      </c>
      <c r="L77" s="12" t="n">
        <v>0.55</v>
      </c>
      <c r="M77" s="12" t="n">
        <v>6</v>
      </c>
      <c r="N77" s="12" t="n">
        <v>1</v>
      </c>
      <c r="O77" s="12" t="n">
        <v>0.17</v>
      </c>
      <c r="P77" s="12" t="n">
        <v>0.87</v>
      </c>
      <c r="Q77" s="12" t="n">
        <v>0</v>
      </c>
    </row>
    <row r="78">
      <c r="A78" s="8" t="inlineStr">
        <is>
          <t>Team Liquid Academy</t>
        </is>
      </c>
      <c r="B78" s="8" t="inlineStr">
        <is>
          <t>kamo</t>
        </is>
      </c>
      <c r="C78" s="8" t="n">
        <v>200</v>
      </c>
      <c r="D78" s="8" t="n">
        <v>72</v>
      </c>
      <c r="E78" s="8" t="n">
        <v>52</v>
      </c>
      <c r="F78" s="8" t="n">
        <v>48</v>
      </c>
      <c r="G78" s="8" t="n">
        <v>19</v>
      </c>
      <c r="H78" s="8" t="n">
        <v>2</v>
      </c>
      <c r="I78" s="8" t="n">
        <v>5</v>
      </c>
      <c r="J78" s="8" t="n">
        <v>1.08</v>
      </c>
      <c r="K78" s="8" t="n">
        <v>1.48</v>
      </c>
      <c r="L78" s="8" t="n">
        <v>0.29</v>
      </c>
      <c r="M78" s="8" t="n">
        <v>5</v>
      </c>
      <c r="N78" s="8" t="n">
        <v>0</v>
      </c>
      <c r="O78" s="8" t="n">
        <v>0</v>
      </c>
      <c r="P78" s="8" t="n">
        <v>0.68</v>
      </c>
      <c r="Q78" s="8" t="n">
        <v>0</v>
      </c>
    </row>
    <row r="79">
      <c r="A79" s="12" t="inlineStr">
        <is>
          <t>Team Liquid Academy</t>
        </is>
      </c>
      <c r="B79" s="12" t="inlineStr">
        <is>
          <t>nAts</t>
        </is>
      </c>
      <c r="C79" s="12" t="n">
        <v>202</v>
      </c>
      <c r="D79" s="12" t="n">
        <v>72</v>
      </c>
      <c r="E79" s="12" t="n">
        <v>52</v>
      </c>
      <c r="F79" s="12" t="n">
        <v>52</v>
      </c>
      <c r="G79" s="12" t="n">
        <v>12</v>
      </c>
      <c r="H79" s="12" t="n">
        <v>7</v>
      </c>
      <c r="I79" s="12" t="n">
        <v>9</v>
      </c>
      <c r="J79" s="12" t="n">
        <v>1</v>
      </c>
      <c r="K79" s="12" t="n">
        <v>1.23</v>
      </c>
      <c r="L79" s="12" t="n">
        <v>0.44</v>
      </c>
      <c r="M79" s="12" t="n">
        <v>13</v>
      </c>
      <c r="N79" s="12" t="n">
        <v>0</v>
      </c>
      <c r="O79" s="12" t="n">
        <v>0</v>
      </c>
      <c r="P79" s="12" t="n">
        <v>0.67</v>
      </c>
      <c r="Q79" s="12" t="n">
        <v>0</v>
      </c>
    </row>
    <row r="80">
      <c r="A80" s="8" t="inlineStr">
        <is>
          <t>Team Liquid Academy</t>
        </is>
      </c>
      <c r="B80" s="8" t="inlineStr">
        <is>
          <t>MiniBoo</t>
        </is>
      </c>
      <c r="C80" s="8" t="n">
        <v>204</v>
      </c>
      <c r="D80" s="8" t="n">
        <v>72</v>
      </c>
      <c r="E80" s="8" t="n">
        <v>49</v>
      </c>
      <c r="F80" s="8" t="n">
        <v>51</v>
      </c>
      <c r="G80" s="8" t="n">
        <v>13</v>
      </c>
      <c r="H80" s="8" t="n">
        <v>17</v>
      </c>
      <c r="I80" s="8" t="n">
        <v>13</v>
      </c>
      <c r="J80" s="8" t="n">
        <v>0.96</v>
      </c>
      <c r="K80" s="8" t="n">
        <v>1.22</v>
      </c>
      <c r="L80" s="8" t="n">
        <v>0.57</v>
      </c>
      <c r="M80" s="8" t="n">
        <v>4</v>
      </c>
      <c r="N80" s="8" t="n">
        <v>0</v>
      </c>
      <c r="O80" s="8" t="n">
        <v>0</v>
      </c>
      <c r="P80" s="8" t="n">
        <v>0.67</v>
      </c>
      <c r="Q80" s="8" t="n">
        <v>0.1429</v>
      </c>
    </row>
    <row r="81">
      <c r="A81" s="12" t="inlineStr">
        <is>
          <t>Team Liquid Academy</t>
        </is>
      </c>
      <c r="B81" s="12" t="inlineStr">
        <is>
          <t>purp0</t>
        </is>
      </c>
      <c r="C81" s="12" t="n">
        <v>177</v>
      </c>
      <c r="D81" s="12" t="n">
        <v>72</v>
      </c>
      <c r="E81" s="12" t="n">
        <v>46</v>
      </c>
      <c r="F81" s="12" t="n">
        <v>45</v>
      </c>
      <c r="G81" s="12" t="n">
        <v>12</v>
      </c>
      <c r="H81" s="12" t="n">
        <v>4</v>
      </c>
      <c r="I81" s="12" t="n">
        <v>8</v>
      </c>
      <c r="J81" s="12" t="n">
        <v>1.02</v>
      </c>
      <c r="K81" s="12" t="n">
        <v>1.29</v>
      </c>
      <c r="L81" s="12" t="n">
        <v>0.33</v>
      </c>
      <c r="M81" s="12" t="n">
        <v>5</v>
      </c>
      <c r="N81" s="12" t="n">
        <v>0</v>
      </c>
      <c r="O81" s="12" t="n">
        <v>0</v>
      </c>
      <c r="P81" s="12" t="n">
        <v>0.6899999999999999</v>
      </c>
      <c r="Q81" s="12" t="n">
        <v>0.06519999999999999</v>
      </c>
    </row>
    <row r="82">
      <c r="A82" s="8" t="inlineStr">
        <is>
          <t>Stallions Esports</t>
        </is>
      </c>
      <c r="B82" s="8" t="inlineStr">
        <is>
          <t>Saud</t>
        </is>
      </c>
      <c r="C82" s="8" t="n">
        <v>122</v>
      </c>
      <c r="D82" s="8" t="n">
        <v>65</v>
      </c>
      <c r="E82" s="8" t="n">
        <v>30</v>
      </c>
      <c r="F82" s="8" t="n">
        <v>36</v>
      </c>
      <c r="G82" s="8" t="n">
        <v>9</v>
      </c>
      <c r="H82" s="8" t="n">
        <v>3</v>
      </c>
      <c r="I82" s="8" t="n">
        <v>5</v>
      </c>
      <c r="J82" s="8" t="n">
        <v>0.83</v>
      </c>
      <c r="K82" s="8" t="n">
        <v>1.08</v>
      </c>
      <c r="L82" s="8" t="n">
        <v>0.38</v>
      </c>
      <c r="M82" s="8" t="n">
        <v>6</v>
      </c>
      <c r="N82" s="8" t="n">
        <v>0</v>
      </c>
      <c r="O82" s="8" t="n">
        <v>0</v>
      </c>
      <c r="P82" s="8" t="n">
        <v>0.78</v>
      </c>
      <c r="Q82" s="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33333"/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Ign</t>
        </is>
      </c>
      <c r="B1" s="4" t="inlineStr">
        <is>
          <t>Team</t>
        </is>
      </c>
      <c r="C1" s="4" t="inlineStr">
        <is>
          <t>Kills</t>
        </is>
      </c>
    </row>
    <row r="2">
      <c r="A2" s="8" t="inlineStr">
        <is>
          <t>pa1ze</t>
        </is>
      </c>
      <c r="B2" s="8" t="inlineStr">
        <is>
          <t>FOKUS</t>
        </is>
      </c>
      <c r="C2" s="8" t="n">
        <v>825</v>
      </c>
    </row>
    <row r="3">
      <c r="A3" s="12" t="inlineStr">
        <is>
          <t>Serial</t>
        </is>
      </c>
      <c r="B3" s="12" t="inlineStr">
        <is>
          <t>FOKUS</t>
        </is>
      </c>
      <c r="C3" s="12" t="n">
        <v>798</v>
      </c>
    </row>
    <row r="4">
      <c r="A4" s="8" t="inlineStr">
        <is>
          <t>pyrolll</t>
        </is>
      </c>
      <c r="B4" s="8" t="inlineStr">
        <is>
          <t>FOKUS</t>
        </is>
      </c>
      <c r="C4" s="8" t="n">
        <v>794</v>
      </c>
    </row>
    <row r="5">
      <c r="A5" s="12" t="inlineStr">
        <is>
          <t>B1SK</t>
        </is>
      </c>
      <c r="B5" s="12" t="inlineStr">
        <is>
          <t>UCAM Esports</t>
        </is>
      </c>
      <c r="C5" s="12" t="n">
        <v>782</v>
      </c>
    </row>
    <row r="6">
      <c r="A6" s="8" t="inlineStr">
        <is>
          <t>Jamelinho</t>
        </is>
      </c>
      <c r="B6" s="8" t="inlineStr">
        <is>
          <t>Eintracht Frankfurt</t>
        </is>
      </c>
      <c r="C6" s="8" t="n">
        <v>721</v>
      </c>
    </row>
    <row r="7">
      <c r="A7" s="12" t="inlineStr">
        <is>
          <t>MONSTEERR</t>
        </is>
      </c>
      <c r="B7" s="12" t="inlineStr">
        <is>
          <t>Eintracht Frankfurt</t>
        </is>
      </c>
      <c r="C7" s="12" t="n">
        <v>719</v>
      </c>
    </row>
    <row r="8">
      <c r="A8" s="8" t="inlineStr">
        <is>
          <t>Fizzy</t>
        </is>
      </c>
      <c r="B8" s="8" t="inlineStr">
        <is>
          <t>Eintracht Frankfurt</t>
        </is>
      </c>
      <c r="C8" s="8" t="n">
        <v>695</v>
      </c>
    </row>
    <row r="9">
      <c r="A9" s="12" t="inlineStr">
        <is>
          <t>shinnok</t>
        </is>
      </c>
      <c r="B9" s="12" t="inlineStr">
        <is>
          <t>FOKUS</t>
        </is>
      </c>
      <c r="C9" s="12" t="n">
        <v>680</v>
      </c>
    </row>
    <row r="10">
      <c r="A10" s="8" t="inlineStr">
        <is>
          <t>Famsii</t>
        </is>
      </c>
      <c r="B10" s="8" t="inlineStr">
        <is>
          <t>UCAM Esports</t>
        </is>
      </c>
      <c r="C10" s="8" t="n">
        <v>664</v>
      </c>
    </row>
    <row r="11">
      <c r="A11" s="12" t="inlineStr">
        <is>
          <t>OLIZERA</t>
        </is>
      </c>
      <c r="B11" s="12" t="inlineStr">
        <is>
          <t>UCAM Esports</t>
        </is>
      </c>
      <c r="C11" s="12" t="n">
        <v>657</v>
      </c>
    </row>
    <row r="12">
      <c r="A12" s="8" t="inlineStr">
        <is>
          <t>MOLSI</t>
        </is>
      </c>
      <c r="B12" s="8" t="inlineStr">
        <is>
          <t>FOKUS</t>
        </is>
      </c>
      <c r="C12" s="8" t="n">
        <v>650</v>
      </c>
    </row>
    <row r="13">
      <c r="A13" s="12" t="inlineStr">
        <is>
          <t>Jesse</t>
        </is>
      </c>
      <c r="B13" s="12" t="inlineStr">
        <is>
          <t>UCAM Esports</t>
        </is>
      </c>
      <c r="C13" s="12" t="n">
        <v>649</v>
      </c>
    </row>
    <row r="14">
      <c r="A14" s="8" t="inlineStr">
        <is>
          <t>azury</t>
        </is>
      </c>
      <c r="B14" s="8" t="inlineStr">
        <is>
          <t>Eintracht Frankfurt</t>
        </is>
      </c>
      <c r="C14" s="8" t="n">
        <v>641</v>
      </c>
    </row>
    <row r="15">
      <c r="A15" s="12" t="inlineStr">
        <is>
          <t>BULD</t>
        </is>
      </c>
      <c r="B15" s="12" t="inlineStr">
        <is>
          <t>UCAM Esports</t>
        </is>
      </c>
      <c r="C15" s="12" t="n">
        <v>637</v>
      </c>
    </row>
    <row r="16">
      <c r="A16" s="8" t="inlineStr">
        <is>
          <t>musashi</t>
        </is>
      </c>
      <c r="B16" s="8" t="inlineStr">
        <is>
          <t>Eintracht Frankfurt</t>
        </is>
      </c>
      <c r="C16" s="8" t="n">
        <v>593</v>
      </c>
    </row>
    <row r="17">
      <c r="A17" s="12" t="inlineStr">
        <is>
          <t>globeX</t>
        </is>
      </c>
      <c r="B17" s="12" t="inlineStr">
        <is>
          <t>Barça eSports</t>
        </is>
      </c>
      <c r="C17" s="12" t="n">
        <v>554</v>
      </c>
    </row>
    <row r="18">
      <c r="A18" s="8" t="inlineStr">
        <is>
          <t>Susano</t>
        </is>
      </c>
      <c r="B18" s="8" t="inlineStr">
        <is>
          <t>Stallions Esports</t>
        </is>
      </c>
      <c r="C18" s="8" t="n">
        <v>547</v>
      </c>
    </row>
    <row r="19">
      <c r="A19" s="12" t="inlineStr">
        <is>
          <t>Kachoww</t>
        </is>
      </c>
      <c r="B19" s="12" t="inlineStr">
        <is>
          <t>S2G Esports</t>
        </is>
      </c>
      <c r="C19" s="12" t="n">
        <v>533</v>
      </c>
    </row>
    <row r="20">
      <c r="A20" s="8" t="inlineStr">
        <is>
          <t>CUNHA</t>
        </is>
      </c>
      <c r="B20" s="8" t="inlineStr">
        <is>
          <t>GnG Amazigh</t>
        </is>
      </c>
      <c r="C20" s="8" t="n">
        <v>531</v>
      </c>
    </row>
    <row r="21">
      <c r="A21" s="12" t="inlineStr">
        <is>
          <t>Kamyk</t>
        </is>
      </c>
      <c r="B21" s="12" t="inlineStr">
        <is>
          <t>Joblife</t>
        </is>
      </c>
      <c r="C21" s="12" t="n">
        <v>526</v>
      </c>
    </row>
    <row r="22">
      <c r="A22" s="8" t="inlineStr">
        <is>
          <t>Chiwa</t>
        </is>
      </c>
      <c r="B22" s="8" t="inlineStr">
        <is>
          <t>Joblife</t>
        </is>
      </c>
      <c r="C22" s="8" t="n">
        <v>522</v>
      </c>
    </row>
    <row r="23">
      <c r="A23" s="12" t="inlineStr">
        <is>
          <t>Guardy</t>
        </is>
      </c>
      <c r="B23" s="12" t="inlineStr">
        <is>
          <t>Barça eSports</t>
        </is>
      </c>
      <c r="C23" s="12" t="n">
        <v>509</v>
      </c>
    </row>
    <row r="24">
      <c r="A24" s="8" t="inlineStr">
        <is>
          <t>Kicks</t>
        </is>
      </c>
      <c r="B24" s="8" t="inlineStr">
        <is>
          <t>Team Liquid Academy</t>
        </is>
      </c>
      <c r="C24" s="8" t="n">
        <v>498</v>
      </c>
    </row>
    <row r="25">
      <c r="A25" s="12" t="inlineStr">
        <is>
          <t>Doma</t>
        </is>
      </c>
      <c r="B25" s="12" t="inlineStr">
        <is>
          <t>Joblife</t>
        </is>
      </c>
      <c r="C25" s="12" t="n">
        <v>487</v>
      </c>
    </row>
    <row r="26">
      <c r="A26" s="8" t="inlineStr">
        <is>
          <t>LOOP</t>
        </is>
      </c>
      <c r="B26" s="8" t="inlineStr">
        <is>
          <t>GnG Amazigh</t>
        </is>
      </c>
      <c r="C26" s="8" t="n">
        <v>482</v>
      </c>
    </row>
    <row r="27">
      <c r="A27" s="12" t="inlineStr">
        <is>
          <t>MonOkson</t>
        </is>
      </c>
      <c r="B27" s="12" t="inlineStr">
        <is>
          <t>GnG Amazigh</t>
        </is>
      </c>
      <c r="C27" s="12" t="n">
        <v>478</v>
      </c>
    </row>
    <row r="28">
      <c r="A28" s="8" t="inlineStr">
        <is>
          <t>Runner</t>
        </is>
      </c>
      <c r="B28" s="8" t="inlineStr">
        <is>
          <t>Joblife</t>
        </is>
      </c>
      <c r="C28" s="8" t="n">
        <v>476</v>
      </c>
    </row>
    <row r="29">
      <c r="A29" s="12" t="inlineStr">
        <is>
          <t>Koji</t>
        </is>
      </c>
      <c r="B29" s="12" t="inlineStr">
        <is>
          <t>Stallions Esports</t>
        </is>
      </c>
      <c r="C29" s="12" t="n">
        <v>475</v>
      </c>
    </row>
    <row r="30">
      <c r="A30" s="8" t="inlineStr">
        <is>
          <t>Stonezy</t>
        </is>
      </c>
      <c r="B30" s="8" t="inlineStr">
        <is>
          <t>Barça eSports</t>
        </is>
      </c>
      <c r="C30" s="8" t="n">
        <v>472</v>
      </c>
    </row>
    <row r="31">
      <c r="A31" s="12" t="inlineStr">
        <is>
          <t>Deadink</t>
        </is>
      </c>
      <c r="B31" s="12" t="inlineStr">
        <is>
          <t>S2G Esports</t>
        </is>
      </c>
      <c r="C31" s="12" t="n">
        <v>467</v>
      </c>
    </row>
    <row r="32">
      <c r="A32" s="8" t="inlineStr">
        <is>
          <t>Takaas</t>
        </is>
      </c>
      <c r="B32" s="8" t="inlineStr">
        <is>
          <t>Mandatory</t>
        </is>
      </c>
      <c r="C32" s="8" t="n">
        <v>466</v>
      </c>
    </row>
    <row r="33">
      <c r="A33" s="12" t="inlineStr">
        <is>
          <t>Sh1n</t>
        </is>
      </c>
      <c r="B33" s="12" t="inlineStr">
        <is>
          <t>Mandatory</t>
        </is>
      </c>
      <c r="C33" s="12" t="n">
        <v>459</v>
      </c>
    </row>
    <row r="34">
      <c r="A34" s="8" t="inlineStr">
        <is>
          <t>Akai</t>
        </is>
      </c>
      <c r="B34" s="8" t="inlineStr">
        <is>
          <t>Stallions Esports</t>
        </is>
      </c>
      <c r="C34" s="8" t="n">
        <v>452</v>
      </c>
    </row>
    <row r="35">
      <c r="A35" s="12" t="inlineStr">
        <is>
          <t>Sevire</t>
        </is>
      </c>
      <c r="B35" s="12" t="inlineStr">
        <is>
          <t>Mandatory</t>
        </is>
      </c>
      <c r="C35" s="12" t="n">
        <v>434</v>
      </c>
    </row>
    <row r="36">
      <c r="A36" s="8" t="inlineStr">
        <is>
          <t>reazy</t>
        </is>
      </c>
      <c r="B36" s="8" t="inlineStr">
        <is>
          <t>S2G Esports</t>
        </is>
      </c>
      <c r="C36" s="8" t="n">
        <v>424</v>
      </c>
    </row>
    <row r="37">
      <c r="A37" s="12" t="inlineStr">
        <is>
          <t xml:space="preserve">Enzo </t>
        </is>
      </c>
      <c r="B37" s="12" t="inlineStr">
        <is>
          <t>Joblife</t>
        </is>
      </c>
      <c r="C37" s="12" t="n">
        <v>422</v>
      </c>
    </row>
    <row r="38">
      <c r="A38" s="8" t="inlineStr">
        <is>
          <t>Natank</t>
        </is>
      </c>
      <c r="B38" s="8" t="inlineStr">
        <is>
          <t>Mandatory</t>
        </is>
      </c>
      <c r="C38" s="8" t="n">
        <v>418</v>
      </c>
    </row>
    <row r="39">
      <c r="A39" s="12" t="inlineStr">
        <is>
          <t>QutionerX</t>
        </is>
      </c>
      <c r="B39" s="12" t="inlineStr">
        <is>
          <t>Misa Esports</t>
        </is>
      </c>
      <c r="C39" s="12" t="n">
        <v>415</v>
      </c>
    </row>
    <row r="40">
      <c r="A40" s="8" t="inlineStr">
        <is>
          <t>Fit1nho</t>
        </is>
      </c>
      <c r="B40" s="8" t="inlineStr">
        <is>
          <t>Barça eSports</t>
        </is>
      </c>
      <c r="C40" s="8" t="n">
        <v>410</v>
      </c>
    </row>
    <row r="41">
      <c r="A41" s="12" t="inlineStr">
        <is>
          <t>hezacoil</t>
        </is>
      </c>
      <c r="B41" s="12" t="inlineStr">
        <is>
          <t>S2G Esports</t>
        </is>
      </c>
      <c r="C41" s="12" t="n">
        <v>409</v>
      </c>
    </row>
    <row r="42">
      <c r="A42" s="8" t="inlineStr">
        <is>
          <t>MAGNUM</t>
        </is>
      </c>
      <c r="B42" s="8" t="inlineStr">
        <is>
          <t>Enterprise Esports</t>
        </is>
      </c>
      <c r="C42" s="8" t="n">
        <v>401</v>
      </c>
    </row>
    <row r="43">
      <c r="A43" s="12" t="inlineStr">
        <is>
          <t>batujnax</t>
        </is>
      </c>
      <c r="B43" s="12" t="inlineStr">
        <is>
          <t>S2G Esports</t>
        </is>
      </c>
      <c r="C43" s="12" t="n">
        <v>395</v>
      </c>
    </row>
    <row r="44">
      <c r="A44" s="8" t="inlineStr">
        <is>
          <t>Avvix</t>
        </is>
      </c>
      <c r="B44" s="8" t="inlineStr">
        <is>
          <t>Stallions Esports</t>
        </is>
      </c>
      <c r="C44" s="8" t="n">
        <v>394</v>
      </c>
    </row>
    <row r="45">
      <c r="A45" s="12" t="inlineStr">
        <is>
          <t>kAdavra</t>
        </is>
      </c>
      <c r="B45" s="12" t="inlineStr">
        <is>
          <t>Mandatory</t>
        </is>
      </c>
      <c r="C45" s="12" t="n">
        <v>392</v>
      </c>
    </row>
    <row r="46">
      <c r="A46" s="8" t="inlineStr">
        <is>
          <t>Proxh</t>
        </is>
      </c>
      <c r="B46" s="8" t="inlineStr">
        <is>
          <t>Enterprise Esports</t>
        </is>
      </c>
      <c r="C46" s="8" t="n">
        <v>389</v>
      </c>
    </row>
    <row r="47">
      <c r="A47" s="12" t="inlineStr">
        <is>
          <t>Lime</t>
        </is>
      </c>
      <c r="B47" s="12" t="inlineStr">
        <is>
          <t>Enterprise Esports</t>
        </is>
      </c>
      <c r="C47" s="12" t="n">
        <v>384</v>
      </c>
    </row>
    <row r="48">
      <c r="A48" s="8" t="inlineStr">
        <is>
          <t>Elite</t>
        </is>
      </c>
      <c r="B48" s="8" t="inlineStr">
        <is>
          <t>Misa Esports</t>
        </is>
      </c>
      <c r="C48" s="8" t="n">
        <v>377</v>
      </c>
    </row>
    <row r="49">
      <c r="A49" s="12" t="inlineStr">
        <is>
          <t>burzzy</t>
        </is>
      </c>
      <c r="B49" s="12" t="inlineStr">
        <is>
          <t>Misa Esports</t>
        </is>
      </c>
      <c r="C49" s="12" t="n">
        <v>371</v>
      </c>
    </row>
    <row r="50">
      <c r="A50" s="8" t="inlineStr">
        <is>
          <t>kozzy</t>
        </is>
      </c>
      <c r="B50" s="8" t="inlineStr">
        <is>
          <t>Enterprise Esports</t>
        </is>
      </c>
      <c r="C50" s="8" t="n">
        <v>367</v>
      </c>
    </row>
    <row r="51">
      <c r="A51" s="12" t="inlineStr">
        <is>
          <t>Brave</t>
        </is>
      </c>
      <c r="B51" s="12" t="inlineStr">
        <is>
          <t>Misa Esports</t>
        </is>
      </c>
      <c r="C51" s="12" t="n">
        <v>350</v>
      </c>
    </row>
    <row r="52">
      <c r="A52" s="8" t="inlineStr">
        <is>
          <t>GSR</t>
        </is>
      </c>
      <c r="B52" s="8" t="inlineStr">
        <is>
          <t>Team Liquid Academy</t>
        </is>
      </c>
      <c r="C52" s="8" t="n">
        <v>349</v>
      </c>
    </row>
    <row r="53">
      <c r="A53" s="12" t="inlineStr">
        <is>
          <t>Tenkai</t>
        </is>
      </c>
      <c r="B53" s="12" t="inlineStr">
        <is>
          <t>GnG Amazigh</t>
        </is>
      </c>
      <c r="C53" s="12" t="n">
        <v>335</v>
      </c>
    </row>
    <row r="54">
      <c r="A54" s="8" t="inlineStr">
        <is>
          <t>Wanzeru</t>
        </is>
      </c>
      <c r="B54" s="8" t="inlineStr">
        <is>
          <t>Team Liquid Academy</t>
        </is>
      </c>
      <c r="C54" s="8" t="n">
        <v>328</v>
      </c>
    </row>
    <row r="55">
      <c r="A55" s="12" t="inlineStr">
        <is>
          <t>OUKA</t>
        </is>
      </c>
      <c r="B55" s="12" t="inlineStr">
        <is>
          <t>GnG Amazigh</t>
        </is>
      </c>
      <c r="C55" s="12" t="n">
        <v>328</v>
      </c>
    </row>
    <row r="56">
      <c r="A56" s="8" t="inlineStr">
        <is>
          <t>Kajuks</t>
        </is>
      </c>
      <c r="B56" s="8" t="inlineStr">
        <is>
          <t>Barça eSports</t>
        </is>
      </c>
      <c r="C56" s="8" t="n">
        <v>327</v>
      </c>
    </row>
    <row r="57">
      <c r="A57" s="12" t="inlineStr">
        <is>
          <t>AL7B</t>
        </is>
      </c>
      <c r="B57" s="12" t="inlineStr">
        <is>
          <t>Stallions Esports</t>
        </is>
      </c>
      <c r="C57" s="12" t="n">
        <v>321</v>
      </c>
    </row>
    <row r="58">
      <c r="A58" s="8" t="inlineStr">
        <is>
          <t>iluri</t>
        </is>
      </c>
      <c r="B58" s="8" t="inlineStr">
        <is>
          <t>Enterprise Esports</t>
        </is>
      </c>
      <c r="C58" s="8" t="n">
        <v>314</v>
      </c>
    </row>
    <row r="59">
      <c r="A59" s="12" t="inlineStr">
        <is>
          <t>Snop</t>
        </is>
      </c>
      <c r="B59" s="12" t="inlineStr">
        <is>
          <t>GnG Amazigh</t>
        </is>
      </c>
      <c r="C59" s="12" t="n">
        <v>310</v>
      </c>
    </row>
    <row r="60">
      <c r="A60" s="8" t="inlineStr">
        <is>
          <t>pAura</t>
        </is>
      </c>
      <c r="B60" s="8" t="inlineStr">
        <is>
          <t>Misa Esports</t>
        </is>
      </c>
      <c r="C60" s="8" t="n">
        <v>298</v>
      </c>
    </row>
    <row r="61">
      <c r="A61" s="12" t="inlineStr">
        <is>
          <t>rexxtoned</t>
        </is>
      </c>
      <c r="B61" s="12" t="inlineStr">
        <is>
          <t>Team Liquid Academy</t>
        </is>
      </c>
      <c r="C61" s="12" t="n">
        <v>291</v>
      </c>
    </row>
    <row r="62">
      <c r="A62" s="8" t="inlineStr">
        <is>
          <t>GSR</t>
        </is>
      </c>
      <c r="B62" s="8" t="inlineStr">
        <is>
          <t>Team Liquid Academy</t>
        </is>
      </c>
      <c r="C62" s="8" t="n">
        <v>189</v>
      </c>
    </row>
    <row r="63">
      <c r="A63" s="12" t="inlineStr">
        <is>
          <t>Szimpli</t>
        </is>
      </c>
      <c r="B63" s="12" t="inlineStr">
        <is>
          <t>Pixel Lumina</t>
        </is>
      </c>
      <c r="C63" s="12" t="n">
        <v>188</v>
      </c>
    </row>
    <row r="64">
      <c r="A64" s="8" t="inlineStr">
        <is>
          <t>reblyik</t>
        </is>
      </c>
      <c r="B64" s="8" t="inlineStr">
        <is>
          <t>MIR</t>
        </is>
      </c>
      <c r="C64" s="8" t="n">
        <v>186</v>
      </c>
    </row>
    <row r="65">
      <c r="A65" s="12" t="inlineStr">
        <is>
          <t>Chaza</t>
        </is>
      </c>
      <c r="B65" s="12" t="inlineStr">
        <is>
          <t>Pixel Lumina</t>
        </is>
      </c>
      <c r="C65" s="12" t="n">
        <v>178</v>
      </c>
    </row>
    <row r="66">
      <c r="A66" s="8" t="inlineStr">
        <is>
          <t>Leare</t>
        </is>
      </c>
      <c r="B66" s="8" t="inlineStr">
        <is>
          <t>Pixel Lumina</t>
        </is>
      </c>
      <c r="C66" s="8" t="n">
        <v>175</v>
      </c>
    </row>
    <row r="67">
      <c r="A67" s="12" t="inlineStr">
        <is>
          <t>Raz</t>
        </is>
      </c>
      <c r="B67" s="12" t="inlineStr">
        <is>
          <t>MIR</t>
        </is>
      </c>
      <c r="C67" s="12" t="n">
        <v>160</v>
      </c>
    </row>
    <row r="68">
      <c r="A68" s="8" t="inlineStr">
        <is>
          <t>elllement</t>
        </is>
      </c>
      <c r="B68" s="8" t="inlineStr">
        <is>
          <t>Pixel Lumina</t>
        </is>
      </c>
      <c r="C68" s="8" t="n">
        <v>158</v>
      </c>
    </row>
    <row r="69">
      <c r="A69" s="12" t="inlineStr">
        <is>
          <t>kospa1n</t>
        </is>
      </c>
      <c r="B69" s="12" t="inlineStr">
        <is>
          <t>MIR</t>
        </is>
      </c>
      <c r="C69" s="12" t="n">
        <v>157</v>
      </c>
    </row>
    <row r="70">
      <c r="A70" s="8" t="inlineStr">
        <is>
          <t>kya</t>
        </is>
      </c>
      <c r="B70" s="8" t="inlineStr">
        <is>
          <t>Pixel Lumina</t>
        </is>
      </c>
      <c r="C70" s="8" t="n">
        <v>151</v>
      </c>
    </row>
    <row r="71">
      <c r="A71" s="12" t="inlineStr">
        <is>
          <t>Redgar</t>
        </is>
      </c>
      <c r="B71" s="12" t="inlineStr">
        <is>
          <t>MIR</t>
        </is>
      </c>
      <c r="C71" s="12" t="n">
        <v>150</v>
      </c>
    </row>
    <row r="72">
      <c r="A72" s="8" t="inlineStr">
        <is>
          <t>rexxtoned</t>
        </is>
      </c>
      <c r="B72" s="8" t="inlineStr">
        <is>
          <t>Team Liquid Academy</t>
        </is>
      </c>
      <c r="C72" s="8" t="n">
        <v>146</v>
      </c>
    </row>
    <row r="73">
      <c r="A73" s="12" t="inlineStr">
        <is>
          <t>swagzor</t>
        </is>
      </c>
      <c r="B73" s="12" t="inlineStr">
        <is>
          <t>Enterprise Esports</t>
        </is>
      </c>
      <c r="C73" s="12" t="n">
        <v>132</v>
      </c>
    </row>
    <row r="74">
      <c r="A74" s="8" t="inlineStr">
        <is>
          <t>WanZeru</t>
        </is>
      </c>
      <c r="B74" s="8" t="inlineStr">
        <is>
          <t>Team Liquid Academy</t>
        </is>
      </c>
      <c r="C74" s="8" t="n">
        <v>128</v>
      </c>
    </row>
    <row r="75">
      <c r="A75" s="12" t="inlineStr">
        <is>
          <t>Bishepss</t>
        </is>
      </c>
      <c r="B75" s="12" t="inlineStr">
        <is>
          <t>MIR</t>
        </is>
      </c>
      <c r="C75" s="12" t="n">
        <v>124</v>
      </c>
    </row>
    <row r="76">
      <c r="A76" s="8" t="inlineStr">
        <is>
          <t>prti</t>
        </is>
      </c>
      <c r="B76" s="8" t="inlineStr">
        <is>
          <t>Team Liquid Academy</t>
        </is>
      </c>
      <c r="C76" s="8" t="n">
        <v>89</v>
      </c>
    </row>
    <row r="77">
      <c r="A77" s="12" t="inlineStr">
        <is>
          <t>br1ckzl</t>
        </is>
      </c>
      <c r="B77" s="12" t="inlineStr">
        <is>
          <t>Stallions Esports</t>
        </is>
      </c>
      <c r="C77" s="12" t="n">
        <v>74</v>
      </c>
    </row>
    <row r="78">
      <c r="A78" s="8" t="inlineStr">
        <is>
          <t>kamo</t>
        </is>
      </c>
      <c r="B78" s="8" t="inlineStr">
        <is>
          <t>Team Liquid Academy</t>
        </is>
      </c>
      <c r="C78" s="8" t="n">
        <v>52</v>
      </c>
    </row>
    <row r="79">
      <c r="A79" s="12" t="inlineStr">
        <is>
          <t>nAts</t>
        </is>
      </c>
      <c r="B79" s="12" t="inlineStr">
        <is>
          <t>Team Liquid Academy</t>
        </is>
      </c>
      <c r="C79" s="12" t="n">
        <v>52</v>
      </c>
    </row>
    <row r="80">
      <c r="A80" s="8" t="inlineStr">
        <is>
          <t>MiniBoo</t>
        </is>
      </c>
      <c r="B80" s="8" t="inlineStr">
        <is>
          <t>Team Liquid Academy</t>
        </is>
      </c>
      <c r="C80" s="8" t="n">
        <v>49</v>
      </c>
    </row>
    <row r="81">
      <c r="A81" s="12" t="inlineStr">
        <is>
          <t>purp0</t>
        </is>
      </c>
      <c r="B81" s="12" t="inlineStr">
        <is>
          <t>Team Liquid Academy</t>
        </is>
      </c>
      <c r="C81" s="12" t="n">
        <v>46</v>
      </c>
    </row>
    <row r="82">
      <c r="A82" s="8" t="inlineStr">
        <is>
          <t>Saud</t>
        </is>
      </c>
      <c r="B82" s="8" t="inlineStr">
        <is>
          <t>Stallions Esports</t>
        </is>
      </c>
      <c r="C82" s="8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33333"/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Ign</t>
        </is>
      </c>
      <c r="B1" s="4" t="inlineStr">
        <is>
          <t>Team</t>
        </is>
      </c>
      <c r="C1" s="4" t="inlineStr">
        <is>
          <t>Deaths</t>
        </is>
      </c>
    </row>
    <row r="2">
      <c r="A2" s="8" t="inlineStr">
        <is>
          <t>pa1ze</t>
        </is>
      </c>
      <c r="B2" s="8" t="inlineStr">
        <is>
          <t>FOKUS</t>
        </is>
      </c>
      <c r="C2" s="8" t="n">
        <v>720</v>
      </c>
    </row>
    <row r="3">
      <c r="A3" s="12" t="inlineStr">
        <is>
          <t>OLIZERA</t>
        </is>
      </c>
      <c r="B3" s="12" t="inlineStr">
        <is>
          <t>UCAM Esports</t>
        </is>
      </c>
      <c r="C3" s="12" t="n">
        <v>680</v>
      </c>
    </row>
    <row r="4">
      <c r="A4" s="8" t="inlineStr">
        <is>
          <t>Serial</t>
        </is>
      </c>
      <c r="B4" s="8" t="inlineStr">
        <is>
          <t>FOKUS</t>
        </is>
      </c>
      <c r="C4" s="8" t="n">
        <v>678</v>
      </c>
    </row>
    <row r="5">
      <c r="A5" s="12" t="inlineStr">
        <is>
          <t>B1SK</t>
        </is>
      </c>
      <c r="B5" s="12" t="inlineStr">
        <is>
          <t>UCAM Esports</t>
        </is>
      </c>
      <c r="C5" s="12" t="n">
        <v>670</v>
      </c>
    </row>
    <row r="6">
      <c r="A6" s="8" t="inlineStr">
        <is>
          <t>Famsii</t>
        </is>
      </c>
      <c r="B6" s="8" t="inlineStr">
        <is>
          <t>UCAM Esports</t>
        </is>
      </c>
      <c r="C6" s="8" t="n">
        <v>670</v>
      </c>
    </row>
    <row r="7">
      <c r="A7" s="12" t="inlineStr">
        <is>
          <t>Jamelinho</t>
        </is>
      </c>
      <c r="B7" s="12" t="inlineStr">
        <is>
          <t>Eintracht Frankfurt</t>
        </is>
      </c>
      <c r="C7" s="12" t="n">
        <v>666</v>
      </c>
    </row>
    <row r="8">
      <c r="A8" s="8" t="inlineStr">
        <is>
          <t>BULD</t>
        </is>
      </c>
      <c r="B8" s="8" t="inlineStr">
        <is>
          <t>UCAM Esports</t>
        </is>
      </c>
      <c r="C8" s="8" t="n">
        <v>662</v>
      </c>
    </row>
    <row r="9">
      <c r="A9" s="12" t="inlineStr">
        <is>
          <t>MOLSI</t>
        </is>
      </c>
      <c r="B9" s="12" t="inlineStr">
        <is>
          <t>FOKUS</t>
        </is>
      </c>
      <c r="C9" s="12" t="n">
        <v>634</v>
      </c>
    </row>
    <row r="10">
      <c r="A10" s="8" t="inlineStr">
        <is>
          <t>pyrolll</t>
        </is>
      </c>
      <c r="B10" s="8" t="inlineStr">
        <is>
          <t>FOKUS</t>
        </is>
      </c>
      <c r="C10" s="8" t="n">
        <v>628</v>
      </c>
    </row>
    <row r="11">
      <c r="A11" s="12" t="inlineStr">
        <is>
          <t>Jesse</t>
        </is>
      </c>
      <c r="B11" s="12" t="inlineStr">
        <is>
          <t>UCAM Esports</t>
        </is>
      </c>
      <c r="C11" s="12" t="n">
        <v>625</v>
      </c>
    </row>
    <row r="12">
      <c r="A12" s="8" t="inlineStr">
        <is>
          <t>MONSTEERR</t>
        </is>
      </c>
      <c r="B12" s="8" t="inlineStr">
        <is>
          <t>Eintracht Frankfurt</t>
        </is>
      </c>
      <c r="C12" s="8" t="n">
        <v>605</v>
      </c>
    </row>
    <row r="13">
      <c r="A13" s="12" t="inlineStr">
        <is>
          <t>musashi</t>
        </is>
      </c>
      <c r="B13" s="12" t="inlineStr">
        <is>
          <t>Eintracht Frankfurt</t>
        </is>
      </c>
      <c r="C13" s="12" t="n">
        <v>588</v>
      </c>
    </row>
    <row r="14">
      <c r="A14" s="8" t="inlineStr">
        <is>
          <t>shinnok</t>
        </is>
      </c>
      <c r="B14" s="8" t="inlineStr">
        <is>
          <t>FOKUS</t>
        </is>
      </c>
      <c r="C14" s="8" t="n">
        <v>580</v>
      </c>
    </row>
    <row r="15">
      <c r="A15" s="12" t="inlineStr">
        <is>
          <t>azury</t>
        </is>
      </c>
      <c r="B15" s="12" t="inlineStr">
        <is>
          <t>Eintracht Frankfurt</t>
        </is>
      </c>
      <c r="C15" s="12" t="n">
        <v>573</v>
      </c>
    </row>
    <row r="16">
      <c r="A16" s="8" t="inlineStr">
        <is>
          <t>Fizzy</t>
        </is>
      </c>
      <c r="B16" s="8" t="inlineStr">
        <is>
          <t>Eintracht Frankfurt</t>
        </is>
      </c>
      <c r="C16" s="8" t="n">
        <v>559</v>
      </c>
    </row>
    <row r="17">
      <c r="A17" s="12" t="inlineStr">
        <is>
          <t>LOOP</t>
        </is>
      </c>
      <c r="B17" s="12" t="inlineStr">
        <is>
          <t>GnG Amazigh</t>
        </is>
      </c>
      <c r="C17" s="12" t="n">
        <v>516</v>
      </c>
    </row>
    <row r="18">
      <c r="A18" s="8" t="inlineStr">
        <is>
          <t>Kachoww</t>
        </is>
      </c>
      <c r="B18" s="8" t="inlineStr">
        <is>
          <t>S2G Esports</t>
        </is>
      </c>
      <c r="C18" s="8" t="n">
        <v>473</v>
      </c>
    </row>
    <row r="19">
      <c r="A19" s="12" t="inlineStr">
        <is>
          <t>Runner</t>
        </is>
      </c>
      <c r="B19" s="12" t="inlineStr">
        <is>
          <t>Joblife</t>
        </is>
      </c>
      <c r="C19" s="12" t="n">
        <v>469</v>
      </c>
    </row>
    <row r="20">
      <c r="A20" s="8" t="inlineStr">
        <is>
          <t>MonOkson</t>
        </is>
      </c>
      <c r="B20" s="8" t="inlineStr">
        <is>
          <t>GnG Amazigh</t>
        </is>
      </c>
      <c r="C20" s="8" t="n">
        <v>452</v>
      </c>
    </row>
    <row r="21">
      <c r="A21" s="12" t="inlineStr">
        <is>
          <t>CUNHA</t>
        </is>
      </c>
      <c r="B21" s="12" t="inlineStr">
        <is>
          <t>GnG Amazigh</t>
        </is>
      </c>
      <c r="C21" s="12" t="n">
        <v>450</v>
      </c>
    </row>
    <row r="22">
      <c r="A22" s="8" t="inlineStr">
        <is>
          <t>Deadink</t>
        </is>
      </c>
      <c r="B22" s="8" t="inlineStr">
        <is>
          <t>S2G Esports</t>
        </is>
      </c>
      <c r="C22" s="8" t="n">
        <v>449</v>
      </c>
    </row>
    <row r="23">
      <c r="A23" s="12" t="inlineStr">
        <is>
          <t>Takaas</t>
        </is>
      </c>
      <c r="B23" s="12" t="inlineStr">
        <is>
          <t>Mandatory</t>
        </is>
      </c>
      <c r="C23" s="12" t="n">
        <v>441</v>
      </c>
    </row>
    <row r="24">
      <c r="A24" s="8" t="inlineStr">
        <is>
          <t>batujnax</t>
        </is>
      </c>
      <c r="B24" s="8" t="inlineStr">
        <is>
          <t>S2G Esports</t>
        </is>
      </c>
      <c r="C24" s="8" t="n">
        <v>441</v>
      </c>
    </row>
    <row r="25">
      <c r="A25" s="12" t="inlineStr">
        <is>
          <t>Guardy</t>
        </is>
      </c>
      <c r="B25" s="12" t="inlineStr">
        <is>
          <t>Barça eSports</t>
        </is>
      </c>
      <c r="C25" s="12" t="n">
        <v>437</v>
      </c>
    </row>
    <row r="26">
      <c r="A26" s="8" t="inlineStr">
        <is>
          <t>Susano</t>
        </is>
      </c>
      <c r="B26" s="8" t="inlineStr">
        <is>
          <t>Stallions Esports</t>
        </is>
      </c>
      <c r="C26" s="8" t="n">
        <v>436</v>
      </c>
    </row>
    <row r="27">
      <c r="A27" s="12" t="inlineStr">
        <is>
          <t>reazy</t>
        </is>
      </c>
      <c r="B27" s="12" t="inlineStr">
        <is>
          <t>S2G Esports</t>
        </is>
      </c>
      <c r="C27" s="12" t="n">
        <v>436</v>
      </c>
    </row>
    <row r="28">
      <c r="A28" s="8" t="inlineStr">
        <is>
          <t>globeX</t>
        </is>
      </c>
      <c r="B28" s="8" t="inlineStr">
        <is>
          <t>Barça eSports</t>
        </is>
      </c>
      <c r="C28" s="8" t="n">
        <v>432</v>
      </c>
    </row>
    <row r="29">
      <c r="A29" s="12" t="inlineStr">
        <is>
          <t>Doma</t>
        </is>
      </c>
      <c r="B29" s="12" t="inlineStr">
        <is>
          <t>Joblife</t>
        </is>
      </c>
      <c r="C29" s="12" t="n">
        <v>431</v>
      </c>
    </row>
    <row r="30">
      <c r="A30" s="8" t="inlineStr">
        <is>
          <t>Kamyk</t>
        </is>
      </c>
      <c r="B30" s="8" t="inlineStr">
        <is>
          <t>Joblife</t>
        </is>
      </c>
      <c r="C30" s="8" t="n">
        <v>423</v>
      </c>
    </row>
    <row r="31">
      <c r="A31" s="12" t="inlineStr">
        <is>
          <t>Akai</t>
        </is>
      </c>
      <c r="B31" s="12" t="inlineStr">
        <is>
          <t>Stallions Esports</t>
        </is>
      </c>
      <c r="C31" s="12" t="n">
        <v>422</v>
      </c>
    </row>
    <row r="32">
      <c r="A32" s="8" t="inlineStr">
        <is>
          <t>Chiwa</t>
        </is>
      </c>
      <c r="B32" s="8" t="inlineStr">
        <is>
          <t>Joblife</t>
        </is>
      </c>
      <c r="C32" s="8" t="n">
        <v>420</v>
      </c>
    </row>
    <row r="33">
      <c r="A33" s="12" t="inlineStr">
        <is>
          <t xml:space="preserve">Enzo </t>
        </is>
      </c>
      <c r="B33" s="12" t="inlineStr">
        <is>
          <t>Joblife</t>
        </is>
      </c>
      <c r="C33" s="12" t="n">
        <v>415</v>
      </c>
    </row>
    <row r="34">
      <c r="A34" s="8" t="inlineStr">
        <is>
          <t>Fit1nho</t>
        </is>
      </c>
      <c r="B34" s="8" t="inlineStr">
        <is>
          <t>Barça eSports</t>
        </is>
      </c>
      <c r="C34" s="8" t="n">
        <v>415</v>
      </c>
    </row>
    <row r="35">
      <c r="A35" s="12" t="inlineStr">
        <is>
          <t>Stonezy</t>
        </is>
      </c>
      <c r="B35" s="12" t="inlineStr">
        <is>
          <t>Barça eSports</t>
        </is>
      </c>
      <c r="C35" s="12" t="n">
        <v>412</v>
      </c>
    </row>
    <row r="36">
      <c r="A36" s="8" t="inlineStr">
        <is>
          <t>hezacoil</t>
        </is>
      </c>
      <c r="B36" s="8" t="inlineStr">
        <is>
          <t>S2G Esports</t>
        </is>
      </c>
      <c r="C36" s="8" t="n">
        <v>411</v>
      </c>
    </row>
    <row r="37">
      <c r="A37" s="12" t="inlineStr">
        <is>
          <t>Kicks</t>
        </is>
      </c>
      <c r="B37" s="12" t="inlineStr">
        <is>
          <t>Team Liquid Academy</t>
        </is>
      </c>
      <c r="C37" s="12" t="n">
        <v>401</v>
      </c>
    </row>
    <row r="38">
      <c r="A38" s="8" t="inlineStr">
        <is>
          <t>Sevire</t>
        </is>
      </c>
      <c r="B38" s="8" t="inlineStr">
        <is>
          <t>Mandatory</t>
        </is>
      </c>
      <c r="C38" s="8" t="n">
        <v>395</v>
      </c>
    </row>
    <row r="39">
      <c r="A39" s="12" t="inlineStr">
        <is>
          <t>Koji</t>
        </is>
      </c>
      <c r="B39" s="12" t="inlineStr">
        <is>
          <t>Stallions Esports</t>
        </is>
      </c>
      <c r="C39" s="12" t="n">
        <v>382</v>
      </c>
    </row>
    <row r="40">
      <c r="A40" s="8" t="inlineStr">
        <is>
          <t>kAdavra</t>
        </is>
      </c>
      <c r="B40" s="8" t="inlineStr">
        <is>
          <t>Mandatory</t>
        </is>
      </c>
      <c r="C40" s="8" t="n">
        <v>372</v>
      </c>
    </row>
    <row r="41">
      <c r="A41" s="12" t="inlineStr">
        <is>
          <t>Sh1n</t>
        </is>
      </c>
      <c r="B41" s="12" t="inlineStr">
        <is>
          <t>Mandatory</t>
        </is>
      </c>
      <c r="C41" s="12" t="n">
        <v>368</v>
      </c>
    </row>
    <row r="42">
      <c r="A42" s="8" t="inlineStr">
        <is>
          <t>Natank</t>
        </is>
      </c>
      <c r="B42" s="8" t="inlineStr">
        <is>
          <t>Mandatory</t>
        </is>
      </c>
      <c r="C42" s="8" t="n">
        <v>362</v>
      </c>
    </row>
    <row r="43">
      <c r="A43" s="12" t="inlineStr">
        <is>
          <t>Brave</t>
        </is>
      </c>
      <c r="B43" s="12" t="inlineStr">
        <is>
          <t>Misa Esports</t>
        </is>
      </c>
      <c r="C43" s="12" t="n">
        <v>358</v>
      </c>
    </row>
    <row r="44">
      <c r="A44" s="8" t="inlineStr">
        <is>
          <t>Avvix</t>
        </is>
      </c>
      <c r="B44" s="8" t="inlineStr">
        <is>
          <t>Stallions Esports</t>
        </is>
      </c>
      <c r="C44" s="8" t="n">
        <v>356</v>
      </c>
    </row>
    <row r="45">
      <c r="A45" s="12" t="inlineStr">
        <is>
          <t>QutionerX</t>
        </is>
      </c>
      <c r="B45" s="12" t="inlineStr">
        <is>
          <t>Misa Esports</t>
        </is>
      </c>
      <c r="C45" s="12" t="n">
        <v>355</v>
      </c>
    </row>
    <row r="46">
      <c r="A46" s="8" t="inlineStr">
        <is>
          <t>Tenkai</t>
        </is>
      </c>
      <c r="B46" s="8" t="inlineStr">
        <is>
          <t>GnG Amazigh</t>
        </is>
      </c>
      <c r="C46" s="8" t="n">
        <v>355</v>
      </c>
    </row>
    <row r="47">
      <c r="A47" s="12" t="inlineStr">
        <is>
          <t>Snop</t>
        </is>
      </c>
      <c r="B47" s="12" t="inlineStr">
        <is>
          <t>GnG Amazigh</t>
        </is>
      </c>
      <c r="C47" s="12" t="n">
        <v>345</v>
      </c>
    </row>
    <row r="48">
      <c r="A48" s="8" t="inlineStr">
        <is>
          <t>Kajuks</t>
        </is>
      </c>
      <c r="B48" s="8" t="inlineStr">
        <is>
          <t>Barça eSports</t>
        </is>
      </c>
      <c r="C48" s="8" t="n">
        <v>340</v>
      </c>
    </row>
    <row r="49">
      <c r="A49" s="12" t="inlineStr">
        <is>
          <t>Lime</t>
        </is>
      </c>
      <c r="B49" s="12" t="inlineStr">
        <is>
          <t>Enterprise Esports</t>
        </is>
      </c>
      <c r="C49" s="12" t="n">
        <v>333</v>
      </c>
    </row>
    <row r="50">
      <c r="A50" s="8" t="inlineStr">
        <is>
          <t>burzzy</t>
        </is>
      </c>
      <c r="B50" s="8" t="inlineStr">
        <is>
          <t>Misa Esports</t>
        </is>
      </c>
      <c r="C50" s="8" t="n">
        <v>329</v>
      </c>
    </row>
    <row r="51">
      <c r="A51" s="12" t="inlineStr">
        <is>
          <t>pAura</t>
        </is>
      </c>
      <c r="B51" s="12" t="inlineStr">
        <is>
          <t>Misa Esports</t>
        </is>
      </c>
      <c r="C51" s="12" t="n">
        <v>328</v>
      </c>
    </row>
    <row r="52">
      <c r="A52" s="8" t="inlineStr">
        <is>
          <t>AL7B</t>
        </is>
      </c>
      <c r="B52" s="8" t="inlineStr">
        <is>
          <t>Stallions Esports</t>
        </is>
      </c>
      <c r="C52" s="8" t="n">
        <v>322</v>
      </c>
    </row>
    <row r="53">
      <c r="A53" s="12" t="inlineStr">
        <is>
          <t>MAGNUM</t>
        </is>
      </c>
      <c r="B53" s="12" t="inlineStr">
        <is>
          <t>Enterprise Esports</t>
        </is>
      </c>
      <c r="C53" s="12" t="n">
        <v>321</v>
      </c>
    </row>
    <row r="54">
      <c r="A54" s="8" t="inlineStr">
        <is>
          <t>OUKA</t>
        </is>
      </c>
      <c r="B54" s="8" t="inlineStr">
        <is>
          <t>GnG Amazigh</t>
        </is>
      </c>
      <c r="C54" s="8" t="n">
        <v>318</v>
      </c>
    </row>
    <row r="55">
      <c r="A55" s="12" t="inlineStr">
        <is>
          <t>Proxh</t>
        </is>
      </c>
      <c r="B55" s="12" t="inlineStr">
        <is>
          <t>Enterprise Esports</t>
        </is>
      </c>
      <c r="C55" s="12" t="n">
        <v>307</v>
      </c>
    </row>
    <row r="56">
      <c r="A56" s="8" t="inlineStr">
        <is>
          <t>Elite</t>
        </is>
      </c>
      <c r="B56" s="8" t="inlineStr">
        <is>
          <t>Misa Esports</t>
        </is>
      </c>
      <c r="C56" s="8" t="n">
        <v>307</v>
      </c>
    </row>
    <row r="57">
      <c r="A57" s="12" t="inlineStr">
        <is>
          <t>iluri</t>
        </is>
      </c>
      <c r="B57" s="12" t="inlineStr">
        <is>
          <t>Enterprise Esports</t>
        </is>
      </c>
      <c r="C57" s="12" t="n">
        <v>305</v>
      </c>
    </row>
    <row r="58">
      <c r="A58" s="8" t="inlineStr">
        <is>
          <t>kozzy</t>
        </is>
      </c>
      <c r="B58" s="8" t="inlineStr">
        <is>
          <t>Enterprise Esports</t>
        </is>
      </c>
      <c r="C58" s="8" t="n">
        <v>244</v>
      </c>
    </row>
    <row r="59">
      <c r="A59" s="12" t="inlineStr">
        <is>
          <t>Wanzeru</t>
        </is>
      </c>
      <c r="B59" s="12" t="inlineStr">
        <is>
          <t>Team Liquid Academy</t>
        </is>
      </c>
      <c r="C59" s="12" t="n">
        <v>244</v>
      </c>
    </row>
    <row r="60">
      <c r="A60" s="8" t="inlineStr">
        <is>
          <t>rexxtoned</t>
        </is>
      </c>
      <c r="B60" s="8" t="inlineStr">
        <is>
          <t>Team Liquid Academy</t>
        </is>
      </c>
      <c r="C60" s="8" t="n">
        <v>241</v>
      </c>
    </row>
    <row r="61">
      <c r="A61" s="12" t="inlineStr">
        <is>
          <t>GSR</t>
        </is>
      </c>
      <c r="B61" s="12" t="inlineStr">
        <is>
          <t>Team Liquid Academy</t>
        </is>
      </c>
      <c r="C61" s="12" t="n">
        <v>226</v>
      </c>
    </row>
    <row r="62">
      <c r="A62" s="8" t="inlineStr">
        <is>
          <t>Szimpli</t>
        </is>
      </c>
      <c r="B62" s="8" t="inlineStr">
        <is>
          <t>Pixel Lumina</t>
        </is>
      </c>
      <c r="C62" s="8" t="n">
        <v>198</v>
      </c>
    </row>
    <row r="63">
      <c r="A63" s="12" t="inlineStr">
        <is>
          <t>Leare</t>
        </is>
      </c>
      <c r="B63" s="12" t="inlineStr">
        <is>
          <t>Pixel Lumina</t>
        </is>
      </c>
      <c r="C63" s="12" t="n">
        <v>183</v>
      </c>
    </row>
    <row r="64">
      <c r="A64" s="8" t="inlineStr">
        <is>
          <t>Chaza</t>
        </is>
      </c>
      <c r="B64" s="8" t="inlineStr">
        <is>
          <t>Pixel Lumina</t>
        </is>
      </c>
      <c r="C64" s="8" t="n">
        <v>182</v>
      </c>
    </row>
    <row r="65">
      <c r="A65" s="12" t="inlineStr">
        <is>
          <t>elllement</t>
        </is>
      </c>
      <c r="B65" s="12" t="inlineStr">
        <is>
          <t>Pixel Lumina</t>
        </is>
      </c>
      <c r="C65" s="12" t="n">
        <v>181</v>
      </c>
    </row>
    <row r="66">
      <c r="A66" s="8" t="inlineStr">
        <is>
          <t>kya</t>
        </is>
      </c>
      <c r="B66" s="8" t="inlineStr">
        <is>
          <t>Pixel Lumina</t>
        </is>
      </c>
      <c r="C66" s="8" t="n">
        <v>178</v>
      </c>
    </row>
    <row r="67">
      <c r="A67" s="12" t="inlineStr">
        <is>
          <t>Raz</t>
        </is>
      </c>
      <c r="B67" s="12" t="inlineStr">
        <is>
          <t>MIR</t>
        </is>
      </c>
      <c r="C67" s="12" t="n">
        <v>156</v>
      </c>
    </row>
    <row r="68">
      <c r="A68" s="8" t="inlineStr">
        <is>
          <t>reblyik</t>
        </is>
      </c>
      <c r="B68" s="8" t="inlineStr">
        <is>
          <t>MIR</t>
        </is>
      </c>
      <c r="C68" s="8" t="n">
        <v>155</v>
      </c>
    </row>
    <row r="69">
      <c r="A69" s="12" t="inlineStr">
        <is>
          <t>kospa1n</t>
        </is>
      </c>
      <c r="B69" s="12" t="inlineStr">
        <is>
          <t>MIR</t>
        </is>
      </c>
      <c r="C69" s="12" t="n">
        <v>153</v>
      </c>
    </row>
    <row r="70">
      <c r="A70" s="8" t="inlineStr">
        <is>
          <t>Bishepss</t>
        </is>
      </c>
      <c r="B70" s="8" t="inlineStr">
        <is>
          <t>MIR</t>
        </is>
      </c>
      <c r="C70" s="8" t="n">
        <v>151</v>
      </c>
    </row>
    <row r="71">
      <c r="A71" s="12" t="inlineStr">
        <is>
          <t>Redgar</t>
        </is>
      </c>
      <c r="B71" s="12" t="inlineStr">
        <is>
          <t>MIR</t>
        </is>
      </c>
      <c r="C71" s="12" t="n">
        <v>148</v>
      </c>
    </row>
    <row r="72">
      <c r="A72" s="8" t="inlineStr">
        <is>
          <t>WanZeru</t>
        </is>
      </c>
      <c r="B72" s="8" t="inlineStr">
        <is>
          <t>Team Liquid Academy</t>
        </is>
      </c>
      <c r="C72" s="8" t="n">
        <v>146</v>
      </c>
    </row>
    <row r="73">
      <c r="A73" s="12" t="inlineStr">
        <is>
          <t>prti</t>
        </is>
      </c>
      <c r="B73" s="12" t="inlineStr">
        <is>
          <t>Team Liquid Academy</t>
        </is>
      </c>
      <c r="C73" s="12" t="n">
        <v>142</v>
      </c>
    </row>
    <row r="74">
      <c r="A74" s="8" t="inlineStr">
        <is>
          <t>GSR</t>
        </is>
      </c>
      <c r="B74" s="8" t="inlineStr">
        <is>
          <t>Team Liquid Academy</t>
        </is>
      </c>
      <c r="C74" s="8" t="n">
        <v>133</v>
      </c>
    </row>
    <row r="75">
      <c r="A75" s="12" t="inlineStr">
        <is>
          <t>rexxtoned</t>
        </is>
      </c>
      <c r="B75" s="12" t="inlineStr">
        <is>
          <t>Team Liquid Academy</t>
        </is>
      </c>
      <c r="C75" s="12" t="n">
        <v>117</v>
      </c>
    </row>
    <row r="76">
      <c r="A76" s="8" t="inlineStr">
        <is>
          <t>swagzor</t>
        </is>
      </c>
      <c r="B76" s="8" t="inlineStr">
        <is>
          <t>Enterprise Esports</t>
        </is>
      </c>
      <c r="C76" s="8" t="n">
        <v>108</v>
      </c>
    </row>
    <row r="77">
      <c r="A77" s="12" t="inlineStr">
        <is>
          <t>br1ckzl</t>
        </is>
      </c>
      <c r="B77" s="12" t="inlineStr">
        <is>
          <t>Stallions Esports</t>
        </is>
      </c>
      <c r="C77" s="12" t="n">
        <v>69</v>
      </c>
    </row>
    <row r="78">
      <c r="A78" s="8" t="inlineStr">
        <is>
          <t>nAts</t>
        </is>
      </c>
      <c r="B78" s="8" t="inlineStr">
        <is>
          <t>Team Liquid Academy</t>
        </is>
      </c>
      <c r="C78" s="8" t="n">
        <v>52</v>
      </c>
    </row>
    <row r="79">
      <c r="A79" s="12" t="inlineStr">
        <is>
          <t>MiniBoo</t>
        </is>
      </c>
      <c r="B79" s="12" t="inlineStr">
        <is>
          <t>Team Liquid Academy</t>
        </is>
      </c>
      <c r="C79" s="12" t="n">
        <v>51</v>
      </c>
    </row>
    <row r="80">
      <c r="A80" s="8" t="inlineStr">
        <is>
          <t>kamo</t>
        </is>
      </c>
      <c r="B80" s="8" t="inlineStr">
        <is>
          <t>Team Liquid Academy</t>
        </is>
      </c>
      <c r="C80" s="8" t="n">
        <v>48</v>
      </c>
    </row>
    <row r="81">
      <c r="A81" s="12" t="inlineStr">
        <is>
          <t>purp0</t>
        </is>
      </c>
      <c r="B81" s="12" t="inlineStr">
        <is>
          <t>Team Liquid Academy</t>
        </is>
      </c>
      <c r="C81" s="12" t="n">
        <v>45</v>
      </c>
    </row>
    <row r="82">
      <c r="A82" s="8" t="inlineStr">
        <is>
          <t>Saud</t>
        </is>
      </c>
      <c r="B82" s="8" t="inlineStr">
        <is>
          <t>Stallions Esports</t>
        </is>
      </c>
      <c r="C82" s="8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33333"/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Ign</t>
        </is>
      </c>
      <c r="B1" s="4" t="inlineStr">
        <is>
          <t>Team</t>
        </is>
      </c>
      <c r="C1" s="4" t="inlineStr">
        <is>
          <t>Assists</t>
        </is>
      </c>
    </row>
    <row r="2">
      <c r="A2" s="8" t="inlineStr">
        <is>
          <t>MOLSI</t>
        </is>
      </c>
      <c r="B2" s="8" t="inlineStr">
        <is>
          <t>FOKUS</t>
        </is>
      </c>
      <c r="C2" s="8" t="n">
        <v>348</v>
      </c>
    </row>
    <row r="3">
      <c r="A3" s="12" t="inlineStr">
        <is>
          <t>Jesse</t>
        </is>
      </c>
      <c r="B3" s="12" t="inlineStr">
        <is>
          <t>UCAM Esports</t>
        </is>
      </c>
      <c r="C3" s="12" t="n">
        <v>327</v>
      </c>
    </row>
    <row r="4">
      <c r="A4" s="8" t="inlineStr">
        <is>
          <t>shinnok</t>
        </is>
      </c>
      <c r="B4" s="8" t="inlineStr">
        <is>
          <t>FOKUS</t>
        </is>
      </c>
      <c r="C4" s="8" t="n">
        <v>314</v>
      </c>
    </row>
    <row r="5">
      <c r="A5" s="12" t="inlineStr">
        <is>
          <t>Fizzy</t>
        </is>
      </c>
      <c r="B5" s="12" t="inlineStr">
        <is>
          <t>Eintracht Frankfurt</t>
        </is>
      </c>
      <c r="C5" s="12" t="n">
        <v>300</v>
      </c>
    </row>
    <row r="6">
      <c r="A6" s="8" t="inlineStr">
        <is>
          <t>BULD</t>
        </is>
      </c>
      <c r="B6" s="8" t="inlineStr">
        <is>
          <t>UCAM Esports</t>
        </is>
      </c>
      <c r="C6" s="8" t="n">
        <v>298</v>
      </c>
    </row>
    <row r="7">
      <c r="A7" s="12" t="inlineStr">
        <is>
          <t>musashi</t>
        </is>
      </c>
      <c r="B7" s="12" t="inlineStr">
        <is>
          <t>Eintracht Frankfurt</t>
        </is>
      </c>
      <c r="C7" s="12" t="n">
        <v>265</v>
      </c>
    </row>
    <row r="8">
      <c r="A8" s="8" t="inlineStr">
        <is>
          <t>CUNHA</t>
        </is>
      </c>
      <c r="B8" s="8" t="inlineStr">
        <is>
          <t>GnG Amazigh</t>
        </is>
      </c>
      <c r="C8" s="8" t="n">
        <v>262</v>
      </c>
    </row>
    <row r="9">
      <c r="A9" s="12" t="inlineStr">
        <is>
          <t>OLIZERA</t>
        </is>
      </c>
      <c r="B9" s="12" t="inlineStr">
        <is>
          <t>UCAM Esports</t>
        </is>
      </c>
      <c r="C9" s="12" t="n">
        <v>247</v>
      </c>
    </row>
    <row r="10">
      <c r="A10" s="8" t="inlineStr">
        <is>
          <t>Famsii</t>
        </is>
      </c>
      <c r="B10" s="8" t="inlineStr">
        <is>
          <t>UCAM Esports</t>
        </is>
      </c>
      <c r="C10" s="8" t="n">
        <v>243</v>
      </c>
    </row>
    <row r="11">
      <c r="A11" s="12" t="inlineStr">
        <is>
          <t>azury</t>
        </is>
      </c>
      <c r="B11" s="12" t="inlineStr">
        <is>
          <t>Eintracht Frankfurt</t>
        </is>
      </c>
      <c r="C11" s="12" t="n">
        <v>229</v>
      </c>
    </row>
    <row r="12">
      <c r="A12" s="8" t="inlineStr">
        <is>
          <t xml:space="preserve">Enzo </t>
        </is>
      </c>
      <c r="B12" s="8" t="inlineStr">
        <is>
          <t>Joblife</t>
        </is>
      </c>
      <c r="C12" s="8" t="n">
        <v>229</v>
      </c>
    </row>
    <row r="13">
      <c r="A13" s="12" t="inlineStr">
        <is>
          <t>hezacoil</t>
        </is>
      </c>
      <c r="B13" s="12" t="inlineStr">
        <is>
          <t>S2G Esports</t>
        </is>
      </c>
      <c r="C13" s="12" t="n">
        <v>229</v>
      </c>
    </row>
    <row r="14">
      <c r="A14" s="8" t="inlineStr">
        <is>
          <t>Kamyk</t>
        </is>
      </c>
      <c r="B14" s="8" t="inlineStr">
        <is>
          <t>Joblife</t>
        </is>
      </c>
      <c r="C14" s="8" t="n">
        <v>218</v>
      </c>
    </row>
    <row r="15">
      <c r="A15" s="12" t="inlineStr">
        <is>
          <t>Proxh</t>
        </is>
      </c>
      <c r="B15" s="12" t="inlineStr">
        <is>
          <t>Enterprise Esports</t>
        </is>
      </c>
      <c r="C15" s="12" t="n">
        <v>218</v>
      </c>
    </row>
    <row r="16">
      <c r="A16" s="8" t="inlineStr">
        <is>
          <t>Serial</t>
        </is>
      </c>
      <c r="B16" s="8" t="inlineStr">
        <is>
          <t>FOKUS</t>
        </is>
      </c>
      <c r="C16" s="8" t="n">
        <v>208</v>
      </c>
    </row>
    <row r="17">
      <c r="A17" s="12" t="inlineStr">
        <is>
          <t>Fit1nho</t>
        </is>
      </c>
      <c r="B17" s="12" t="inlineStr">
        <is>
          <t>Barça eSports</t>
        </is>
      </c>
      <c r="C17" s="12" t="n">
        <v>204</v>
      </c>
    </row>
    <row r="18">
      <c r="A18" s="8" t="inlineStr">
        <is>
          <t>MONSTEERR</t>
        </is>
      </c>
      <c r="B18" s="8" t="inlineStr">
        <is>
          <t>Eintracht Frankfurt</t>
        </is>
      </c>
      <c r="C18" s="8" t="n">
        <v>197</v>
      </c>
    </row>
    <row r="19">
      <c r="A19" s="12" t="inlineStr">
        <is>
          <t>Kicks</t>
        </is>
      </c>
      <c r="B19" s="12" t="inlineStr">
        <is>
          <t>Team Liquid Academy</t>
        </is>
      </c>
      <c r="C19" s="12" t="n">
        <v>193</v>
      </c>
    </row>
    <row r="20">
      <c r="A20" s="8" t="inlineStr">
        <is>
          <t>pyrolll</t>
        </is>
      </c>
      <c r="B20" s="8" t="inlineStr">
        <is>
          <t>FOKUS</t>
        </is>
      </c>
      <c r="C20" s="8" t="n">
        <v>189</v>
      </c>
    </row>
    <row r="21">
      <c r="A21" s="12" t="inlineStr">
        <is>
          <t>burzzy</t>
        </is>
      </c>
      <c r="B21" s="12" t="inlineStr">
        <is>
          <t>Misa Esports</t>
        </is>
      </c>
      <c r="C21" s="12" t="n">
        <v>188</v>
      </c>
    </row>
    <row r="22">
      <c r="A22" s="8" t="inlineStr">
        <is>
          <t>Sevire</t>
        </is>
      </c>
      <c r="B22" s="8" t="inlineStr">
        <is>
          <t>Mandatory</t>
        </is>
      </c>
      <c r="C22" s="8" t="n">
        <v>187</v>
      </c>
    </row>
    <row r="23">
      <c r="A23" s="12" t="inlineStr">
        <is>
          <t>Guardy</t>
        </is>
      </c>
      <c r="B23" s="12" t="inlineStr">
        <is>
          <t>Barça eSports</t>
        </is>
      </c>
      <c r="C23" s="12" t="n">
        <v>186</v>
      </c>
    </row>
    <row r="24">
      <c r="A24" s="8" t="inlineStr">
        <is>
          <t>batujnax</t>
        </is>
      </c>
      <c r="B24" s="8" t="inlineStr">
        <is>
          <t>S2G Esports</t>
        </is>
      </c>
      <c r="C24" s="8" t="n">
        <v>186</v>
      </c>
    </row>
    <row r="25">
      <c r="A25" s="12" t="inlineStr">
        <is>
          <t>pa1ze</t>
        </is>
      </c>
      <c r="B25" s="12" t="inlineStr">
        <is>
          <t>FOKUS</t>
        </is>
      </c>
      <c r="C25" s="12" t="n">
        <v>184</v>
      </c>
    </row>
    <row r="26">
      <c r="A26" s="8" t="inlineStr">
        <is>
          <t>Sh1n</t>
        </is>
      </c>
      <c r="B26" s="8" t="inlineStr">
        <is>
          <t>Mandatory</t>
        </is>
      </c>
      <c r="C26" s="8" t="n">
        <v>184</v>
      </c>
    </row>
    <row r="27">
      <c r="A27" s="12" t="inlineStr">
        <is>
          <t>reazy</t>
        </is>
      </c>
      <c r="B27" s="12" t="inlineStr">
        <is>
          <t>S2G Esports</t>
        </is>
      </c>
      <c r="C27" s="12" t="n">
        <v>181</v>
      </c>
    </row>
    <row r="28">
      <c r="A28" s="8" t="inlineStr">
        <is>
          <t>Doma</t>
        </is>
      </c>
      <c r="B28" s="8" t="inlineStr">
        <is>
          <t>Joblife</t>
        </is>
      </c>
      <c r="C28" s="8" t="n">
        <v>180</v>
      </c>
    </row>
    <row r="29">
      <c r="A29" s="12" t="inlineStr">
        <is>
          <t>Avvix</t>
        </is>
      </c>
      <c r="B29" s="12" t="inlineStr">
        <is>
          <t>Stallions Esports</t>
        </is>
      </c>
      <c r="C29" s="12" t="n">
        <v>180</v>
      </c>
    </row>
    <row r="30">
      <c r="A30" s="8" t="inlineStr">
        <is>
          <t>AL7B</t>
        </is>
      </c>
      <c r="B30" s="8" t="inlineStr">
        <is>
          <t>Stallions Esports</t>
        </is>
      </c>
      <c r="C30" s="8" t="n">
        <v>179</v>
      </c>
    </row>
    <row r="31">
      <c r="A31" s="12" t="inlineStr">
        <is>
          <t>B1SK</t>
        </is>
      </c>
      <c r="B31" s="12" t="inlineStr">
        <is>
          <t>UCAM Esports</t>
        </is>
      </c>
      <c r="C31" s="12" t="n">
        <v>175</v>
      </c>
    </row>
    <row r="32">
      <c r="A32" s="8" t="inlineStr">
        <is>
          <t>LOOP</t>
        </is>
      </c>
      <c r="B32" s="8" t="inlineStr">
        <is>
          <t>GnG Amazigh</t>
        </is>
      </c>
      <c r="C32" s="8" t="n">
        <v>174</v>
      </c>
    </row>
    <row r="33">
      <c r="A33" s="12" t="inlineStr">
        <is>
          <t>MonOkson</t>
        </is>
      </c>
      <c r="B33" s="12" t="inlineStr">
        <is>
          <t>GnG Amazigh</t>
        </is>
      </c>
      <c r="C33" s="12" t="n">
        <v>174</v>
      </c>
    </row>
    <row r="34">
      <c r="A34" s="8" t="inlineStr">
        <is>
          <t>Kachoww</t>
        </is>
      </c>
      <c r="B34" s="8" t="inlineStr">
        <is>
          <t>S2G Esports</t>
        </is>
      </c>
      <c r="C34" s="8" t="n">
        <v>171</v>
      </c>
    </row>
    <row r="35">
      <c r="A35" s="12" t="inlineStr">
        <is>
          <t>Jamelinho</t>
        </is>
      </c>
      <c r="B35" s="12" t="inlineStr">
        <is>
          <t>Eintracht Frankfurt</t>
        </is>
      </c>
      <c r="C35" s="12" t="n">
        <v>169</v>
      </c>
    </row>
    <row r="36">
      <c r="A36" s="8" t="inlineStr">
        <is>
          <t>Kajuks</t>
        </is>
      </c>
      <c r="B36" s="8" t="inlineStr">
        <is>
          <t>Barça eSports</t>
        </is>
      </c>
      <c r="C36" s="8" t="n">
        <v>168</v>
      </c>
    </row>
    <row r="37">
      <c r="A37" s="12" t="inlineStr">
        <is>
          <t>kAdavra</t>
        </is>
      </c>
      <c r="B37" s="12" t="inlineStr">
        <is>
          <t>Mandatory</t>
        </is>
      </c>
      <c r="C37" s="12" t="n">
        <v>160</v>
      </c>
    </row>
    <row r="38">
      <c r="A38" s="8" t="inlineStr">
        <is>
          <t>globeX</t>
        </is>
      </c>
      <c r="B38" s="8" t="inlineStr">
        <is>
          <t>Barça eSports</t>
        </is>
      </c>
      <c r="C38" s="8" t="n">
        <v>148</v>
      </c>
    </row>
    <row r="39">
      <c r="A39" s="12" t="inlineStr">
        <is>
          <t>Natank</t>
        </is>
      </c>
      <c r="B39" s="12" t="inlineStr">
        <is>
          <t>Mandatory</t>
        </is>
      </c>
      <c r="C39" s="12" t="n">
        <v>147</v>
      </c>
    </row>
    <row r="40">
      <c r="A40" s="8" t="inlineStr">
        <is>
          <t>Runner</t>
        </is>
      </c>
      <c r="B40" s="8" t="inlineStr">
        <is>
          <t>Joblife</t>
        </is>
      </c>
      <c r="C40" s="8" t="n">
        <v>146</v>
      </c>
    </row>
    <row r="41">
      <c r="A41" s="12" t="inlineStr">
        <is>
          <t>pAura</t>
        </is>
      </c>
      <c r="B41" s="12" t="inlineStr">
        <is>
          <t>Misa Esports</t>
        </is>
      </c>
      <c r="C41" s="12" t="n">
        <v>144</v>
      </c>
    </row>
    <row r="42">
      <c r="A42" s="8" t="inlineStr">
        <is>
          <t>Takaas</t>
        </is>
      </c>
      <c r="B42" s="8" t="inlineStr">
        <is>
          <t>Mandatory</t>
        </is>
      </c>
      <c r="C42" s="8" t="n">
        <v>140</v>
      </c>
    </row>
    <row r="43">
      <c r="A43" s="12" t="inlineStr">
        <is>
          <t>MAGNUM</t>
        </is>
      </c>
      <c r="B43" s="12" t="inlineStr">
        <is>
          <t>Enterprise Esports</t>
        </is>
      </c>
      <c r="C43" s="12" t="n">
        <v>139</v>
      </c>
    </row>
    <row r="44">
      <c r="A44" s="8" t="inlineStr">
        <is>
          <t>Tenkai</t>
        </is>
      </c>
      <c r="B44" s="8" t="inlineStr">
        <is>
          <t>GnG Amazigh</t>
        </is>
      </c>
      <c r="C44" s="8" t="n">
        <v>138</v>
      </c>
    </row>
    <row r="45">
      <c r="A45" s="12" t="inlineStr">
        <is>
          <t>Elite</t>
        </is>
      </c>
      <c r="B45" s="12" t="inlineStr">
        <is>
          <t>Misa Esports</t>
        </is>
      </c>
      <c r="C45" s="12" t="n">
        <v>137</v>
      </c>
    </row>
    <row r="46">
      <c r="A46" s="8" t="inlineStr">
        <is>
          <t>Deadink</t>
        </is>
      </c>
      <c r="B46" s="8" t="inlineStr">
        <is>
          <t>S2G Esports</t>
        </is>
      </c>
      <c r="C46" s="8" t="n">
        <v>134</v>
      </c>
    </row>
    <row r="47">
      <c r="A47" s="12" t="inlineStr">
        <is>
          <t>Brave</t>
        </is>
      </c>
      <c r="B47" s="12" t="inlineStr">
        <is>
          <t>Misa Esports</t>
        </is>
      </c>
      <c r="C47" s="12" t="n">
        <v>134</v>
      </c>
    </row>
    <row r="48">
      <c r="A48" s="8" t="inlineStr">
        <is>
          <t>Lime</t>
        </is>
      </c>
      <c r="B48" s="8" t="inlineStr">
        <is>
          <t>Enterprise Esports</t>
        </is>
      </c>
      <c r="C48" s="8" t="n">
        <v>133</v>
      </c>
    </row>
    <row r="49">
      <c r="A49" s="12" t="inlineStr">
        <is>
          <t>Stonezy</t>
        </is>
      </c>
      <c r="B49" s="12" t="inlineStr">
        <is>
          <t>Barça eSports</t>
        </is>
      </c>
      <c r="C49" s="12" t="n">
        <v>131</v>
      </c>
    </row>
    <row r="50">
      <c r="A50" s="8" t="inlineStr">
        <is>
          <t>Chiwa</t>
        </is>
      </c>
      <c r="B50" s="8" t="inlineStr">
        <is>
          <t>Joblife</t>
        </is>
      </c>
      <c r="C50" s="8" t="n">
        <v>127</v>
      </c>
    </row>
    <row r="51">
      <c r="A51" s="12" t="inlineStr">
        <is>
          <t>iluri</t>
        </is>
      </c>
      <c r="B51" s="12" t="inlineStr">
        <is>
          <t>Enterprise Esports</t>
        </is>
      </c>
      <c r="C51" s="12" t="n">
        <v>127</v>
      </c>
    </row>
    <row r="52">
      <c r="A52" s="8" t="inlineStr">
        <is>
          <t>Susano</t>
        </is>
      </c>
      <c r="B52" s="8" t="inlineStr">
        <is>
          <t>Stallions Esports</t>
        </is>
      </c>
      <c r="C52" s="8" t="n">
        <v>122</v>
      </c>
    </row>
    <row r="53">
      <c r="A53" s="12" t="inlineStr">
        <is>
          <t>Akai</t>
        </is>
      </c>
      <c r="B53" s="12" t="inlineStr">
        <is>
          <t>Stallions Esports</t>
        </is>
      </c>
      <c r="C53" s="12" t="n">
        <v>108</v>
      </c>
    </row>
    <row r="54">
      <c r="A54" s="8" t="inlineStr">
        <is>
          <t>rexxtoned</t>
        </is>
      </c>
      <c r="B54" s="8" t="inlineStr">
        <is>
          <t>Team Liquid Academy</t>
        </is>
      </c>
      <c r="C54" s="8" t="n">
        <v>103</v>
      </c>
    </row>
    <row r="55">
      <c r="A55" s="12" t="inlineStr">
        <is>
          <t>Koji</t>
        </is>
      </c>
      <c r="B55" s="12" t="inlineStr">
        <is>
          <t>Stallions Esports</t>
        </is>
      </c>
      <c r="C55" s="12" t="n">
        <v>100</v>
      </c>
    </row>
    <row r="56">
      <c r="A56" s="8" t="inlineStr">
        <is>
          <t>GSR</t>
        </is>
      </c>
      <c r="B56" s="8" t="inlineStr">
        <is>
          <t>Team Liquid Academy</t>
        </is>
      </c>
      <c r="C56" s="8" t="n">
        <v>100</v>
      </c>
    </row>
    <row r="57">
      <c r="A57" s="12" t="inlineStr">
        <is>
          <t>Snop</t>
        </is>
      </c>
      <c r="B57" s="12" t="inlineStr">
        <is>
          <t>GnG Amazigh</t>
        </is>
      </c>
      <c r="C57" s="12" t="n">
        <v>95</v>
      </c>
    </row>
    <row r="58">
      <c r="A58" s="8" t="inlineStr">
        <is>
          <t>Wanzeru</t>
        </is>
      </c>
      <c r="B58" s="8" t="inlineStr">
        <is>
          <t>Team Liquid Academy</t>
        </is>
      </c>
      <c r="C58" s="8" t="n">
        <v>93</v>
      </c>
    </row>
    <row r="59">
      <c r="A59" s="12" t="inlineStr">
        <is>
          <t>QutionerX</t>
        </is>
      </c>
      <c r="B59" s="12" t="inlineStr">
        <is>
          <t>Misa Esports</t>
        </is>
      </c>
      <c r="C59" s="12" t="n">
        <v>83</v>
      </c>
    </row>
    <row r="60">
      <c r="A60" s="8" t="inlineStr">
        <is>
          <t>OUKA</t>
        </is>
      </c>
      <c r="B60" s="8" t="inlineStr">
        <is>
          <t>GnG Amazigh</t>
        </is>
      </c>
      <c r="C60" s="8" t="n">
        <v>82</v>
      </c>
    </row>
    <row r="61">
      <c r="A61" s="12" t="inlineStr">
        <is>
          <t>Leare</t>
        </is>
      </c>
      <c r="B61" s="12" t="inlineStr">
        <is>
          <t>Pixel Lumina</t>
        </is>
      </c>
      <c r="C61" s="12" t="n">
        <v>78</v>
      </c>
    </row>
    <row r="62">
      <c r="A62" s="8" t="inlineStr">
        <is>
          <t>kozzy</t>
        </is>
      </c>
      <c r="B62" s="8" t="inlineStr">
        <is>
          <t>Enterprise Esports</t>
        </is>
      </c>
      <c r="C62" s="8" t="n">
        <v>76</v>
      </c>
    </row>
    <row r="63">
      <c r="A63" s="12" t="inlineStr">
        <is>
          <t>Bishepss</t>
        </is>
      </c>
      <c r="B63" s="12" t="inlineStr">
        <is>
          <t>MIR</t>
        </is>
      </c>
      <c r="C63" s="12" t="n">
        <v>68</v>
      </c>
    </row>
    <row r="64">
      <c r="A64" s="8" t="inlineStr">
        <is>
          <t>Redgar</t>
        </is>
      </c>
      <c r="B64" s="8" t="inlineStr">
        <is>
          <t>MIR</t>
        </is>
      </c>
      <c r="C64" s="8" t="n">
        <v>65</v>
      </c>
    </row>
    <row r="65">
      <c r="A65" s="12" t="inlineStr">
        <is>
          <t>prti</t>
        </is>
      </c>
      <c r="B65" s="12" t="inlineStr">
        <is>
          <t>Team Liquid Academy</t>
        </is>
      </c>
      <c r="C65" s="12" t="n">
        <v>64</v>
      </c>
    </row>
    <row r="66">
      <c r="A66" s="8" t="inlineStr">
        <is>
          <t>reblyik</t>
        </is>
      </c>
      <c r="B66" s="8" t="inlineStr">
        <is>
          <t>MIR</t>
        </is>
      </c>
      <c r="C66" s="8" t="n">
        <v>50</v>
      </c>
    </row>
    <row r="67">
      <c r="A67" s="12" t="inlineStr">
        <is>
          <t>Szimpli</t>
        </is>
      </c>
      <c r="B67" s="12" t="inlineStr">
        <is>
          <t>Pixel Lumina</t>
        </is>
      </c>
      <c r="C67" s="12" t="n">
        <v>49</v>
      </c>
    </row>
    <row r="68">
      <c r="A68" s="8" t="inlineStr">
        <is>
          <t>kya</t>
        </is>
      </c>
      <c r="B68" s="8" t="inlineStr">
        <is>
          <t>Pixel Lumina</t>
        </is>
      </c>
      <c r="C68" s="8" t="n">
        <v>49</v>
      </c>
    </row>
    <row r="69">
      <c r="A69" s="12" t="inlineStr">
        <is>
          <t>elllement</t>
        </is>
      </c>
      <c r="B69" s="12" t="inlineStr">
        <is>
          <t>Pixel Lumina</t>
        </is>
      </c>
      <c r="C69" s="12" t="n">
        <v>47</v>
      </c>
    </row>
    <row r="70">
      <c r="A70" s="8" t="inlineStr">
        <is>
          <t>rexxtoned</t>
        </is>
      </c>
      <c r="B70" s="8" t="inlineStr">
        <is>
          <t>Team Liquid Academy</t>
        </is>
      </c>
      <c r="C70" s="8" t="n">
        <v>47</v>
      </c>
    </row>
    <row r="71">
      <c r="A71" s="12" t="inlineStr">
        <is>
          <t>Chaza</t>
        </is>
      </c>
      <c r="B71" s="12" t="inlineStr">
        <is>
          <t>Pixel Lumina</t>
        </is>
      </c>
      <c r="C71" s="12" t="n">
        <v>45</v>
      </c>
    </row>
    <row r="72">
      <c r="A72" s="8" t="inlineStr">
        <is>
          <t>Raz</t>
        </is>
      </c>
      <c r="B72" s="8" t="inlineStr">
        <is>
          <t>MIR</t>
        </is>
      </c>
      <c r="C72" s="8" t="n">
        <v>40</v>
      </c>
    </row>
    <row r="73">
      <c r="A73" s="12" t="inlineStr">
        <is>
          <t>GSR</t>
        </is>
      </c>
      <c r="B73" s="12" t="inlineStr">
        <is>
          <t>Team Liquid Academy</t>
        </is>
      </c>
      <c r="C73" s="12" t="n">
        <v>38</v>
      </c>
    </row>
    <row r="74">
      <c r="A74" s="8" t="inlineStr">
        <is>
          <t>WanZeru</t>
        </is>
      </c>
      <c r="B74" s="8" t="inlineStr">
        <is>
          <t>Team Liquid Academy</t>
        </is>
      </c>
      <c r="C74" s="8" t="n">
        <v>38</v>
      </c>
    </row>
    <row r="75">
      <c r="A75" s="12" t="inlineStr">
        <is>
          <t>br1ckzl</t>
        </is>
      </c>
      <c r="B75" s="12" t="inlineStr">
        <is>
          <t>Stallions Esports</t>
        </is>
      </c>
      <c r="C75" s="12" t="n">
        <v>38</v>
      </c>
    </row>
    <row r="76">
      <c r="A76" s="8" t="inlineStr">
        <is>
          <t>kospa1n</t>
        </is>
      </c>
      <c r="B76" s="8" t="inlineStr">
        <is>
          <t>MIR</t>
        </is>
      </c>
      <c r="C76" s="8" t="n">
        <v>35</v>
      </c>
    </row>
    <row r="77">
      <c r="A77" s="12" t="inlineStr">
        <is>
          <t>swagzor</t>
        </is>
      </c>
      <c r="B77" s="12" t="inlineStr">
        <is>
          <t>Enterprise Esports</t>
        </is>
      </c>
      <c r="C77" s="12" t="n">
        <v>30</v>
      </c>
    </row>
    <row r="78">
      <c r="A78" s="8" t="inlineStr">
        <is>
          <t>kamo</t>
        </is>
      </c>
      <c r="B78" s="8" t="inlineStr">
        <is>
          <t>Team Liquid Academy</t>
        </is>
      </c>
      <c r="C78" s="8" t="n">
        <v>19</v>
      </c>
    </row>
    <row r="79">
      <c r="A79" s="12" t="inlineStr">
        <is>
          <t>MiniBoo</t>
        </is>
      </c>
      <c r="B79" s="12" t="inlineStr">
        <is>
          <t>Team Liquid Academy</t>
        </is>
      </c>
      <c r="C79" s="12" t="n">
        <v>13</v>
      </c>
    </row>
    <row r="80">
      <c r="A80" s="8" t="inlineStr">
        <is>
          <t>nAts</t>
        </is>
      </c>
      <c r="B80" s="8" t="inlineStr">
        <is>
          <t>Team Liquid Academy</t>
        </is>
      </c>
      <c r="C80" s="8" t="n">
        <v>12</v>
      </c>
    </row>
    <row r="81">
      <c r="A81" s="12" t="inlineStr">
        <is>
          <t>purp0</t>
        </is>
      </c>
      <c r="B81" s="12" t="inlineStr">
        <is>
          <t>Team Liquid Academy</t>
        </is>
      </c>
      <c r="C81" s="12" t="n">
        <v>12</v>
      </c>
    </row>
    <row r="82">
      <c r="A82" s="8" t="inlineStr">
        <is>
          <t>Saud</t>
        </is>
      </c>
      <c r="B82" s="8" t="inlineStr">
        <is>
          <t>Stallions Esports</t>
        </is>
      </c>
      <c r="C82" s="8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33333"/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Ign</t>
        </is>
      </c>
      <c r="B1" s="4" t="inlineStr">
        <is>
          <t>Team</t>
        </is>
      </c>
      <c r="C1" s="4" t="inlineStr">
        <is>
          <t>Acs</t>
        </is>
      </c>
    </row>
    <row r="2">
      <c r="A2" s="8" t="inlineStr">
        <is>
          <t>kozzy</t>
        </is>
      </c>
      <c r="B2" s="8" t="inlineStr">
        <is>
          <t>Enterprise Esports</t>
        </is>
      </c>
      <c r="C2" s="8" t="n">
        <v>271</v>
      </c>
    </row>
    <row r="3">
      <c r="A3" s="12" t="inlineStr">
        <is>
          <t>GSR</t>
        </is>
      </c>
      <c r="B3" s="12" t="inlineStr">
        <is>
          <t>Team Liquid Academy</t>
        </is>
      </c>
      <c r="C3" s="12" t="n">
        <v>256</v>
      </c>
    </row>
    <row r="4">
      <c r="A4" s="8" t="inlineStr">
        <is>
          <t>GSR</t>
        </is>
      </c>
      <c r="B4" s="8" t="inlineStr">
        <is>
          <t>Team Liquid Academy</t>
        </is>
      </c>
      <c r="C4" s="8" t="n">
        <v>246</v>
      </c>
    </row>
    <row r="5">
      <c r="A5" s="12" t="inlineStr">
        <is>
          <t>globeX</t>
        </is>
      </c>
      <c r="B5" s="12" t="inlineStr">
        <is>
          <t>Barça eSports</t>
        </is>
      </c>
      <c r="C5" s="12" t="n">
        <v>242</v>
      </c>
    </row>
    <row r="6">
      <c r="A6" s="8" t="inlineStr">
        <is>
          <t>Kachoww</t>
        </is>
      </c>
      <c r="B6" s="8" t="inlineStr">
        <is>
          <t>S2G Esports</t>
        </is>
      </c>
      <c r="C6" s="8" t="n">
        <v>238</v>
      </c>
    </row>
    <row r="7">
      <c r="A7" s="12" t="inlineStr">
        <is>
          <t>Susano</t>
        </is>
      </c>
      <c r="B7" s="12" t="inlineStr">
        <is>
          <t>Stallions Esports</t>
        </is>
      </c>
      <c r="C7" s="12" t="n">
        <v>237</v>
      </c>
    </row>
    <row r="8">
      <c r="A8" s="8" t="inlineStr">
        <is>
          <t>Wanzeru</t>
        </is>
      </c>
      <c r="B8" s="8" t="inlineStr">
        <is>
          <t>Team Liquid Academy</t>
        </is>
      </c>
      <c r="C8" s="8" t="n">
        <v>237</v>
      </c>
    </row>
    <row r="9">
      <c r="A9" s="12" t="inlineStr">
        <is>
          <t>reblyik</t>
        </is>
      </c>
      <c r="B9" s="12" t="inlineStr">
        <is>
          <t>MIR</t>
        </is>
      </c>
      <c r="C9" s="12" t="n">
        <v>237</v>
      </c>
    </row>
    <row r="10">
      <c r="A10" s="8" t="inlineStr">
        <is>
          <t>swagzor</t>
        </is>
      </c>
      <c r="B10" s="8" t="inlineStr">
        <is>
          <t>Enterprise Esports</t>
        </is>
      </c>
      <c r="C10" s="8" t="n">
        <v>235</v>
      </c>
    </row>
    <row r="11">
      <c r="A11" s="12" t="inlineStr">
        <is>
          <t>pa1ze</t>
        </is>
      </c>
      <c r="B11" s="12" t="inlineStr">
        <is>
          <t>FOKUS</t>
        </is>
      </c>
      <c r="C11" s="12" t="n">
        <v>233</v>
      </c>
    </row>
    <row r="12">
      <c r="A12" s="8" t="inlineStr">
        <is>
          <t>B1SK</t>
        </is>
      </c>
      <c r="B12" s="8" t="inlineStr">
        <is>
          <t>UCAM Esports</t>
        </is>
      </c>
      <c r="C12" s="8" t="n">
        <v>227</v>
      </c>
    </row>
    <row r="13">
      <c r="A13" s="12" t="inlineStr">
        <is>
          <t>QutionerX</t>
        </is>
      </c>
      <c r="B13" s="12" t="inlineStr">
        <is>
          <t>Misa Esports</t>
        </is>
      </c>
      <c r="C13" s="12" t="n">
        <v>227</v>
      </c>
    </row>
    <row r="14">
      <c r="A14" s="8" t="inlineStr">
        <is>
          <t>Jamelinho</t>
        </is>
      </c>
      <c r="B14" s="8" t="inlineStr">
        <is>
          <t>Eintracht Frankfurt</t>
        </is>
      </c>
      <c r="C14" s="8" t="n">
        <v>223</v>
      </c>
    </row>
    <row r="15">
      <c r="A15" s="12" t="inlineStr">
        <is>
          <t>MONSTEERR</t>
        </is>
      </c>
      <c r="B15" s="12" t="inlineStr">
        <is>
          <t>Eintracht Frankfurt</t>
        </is>
      </c>
      <c r="C15" s="12" t="n">
        <v>223</v>
      </c>
    </row>
    <row r="16">
      <c r="A16" s="8" t="inlineStr">
        <is>
          <t>Akai</t>
        </is>
      </c>
      <c r="B16" s="8" t="inlineStr">
        <is>
          <t>Stallions Esports</t>
        </is>
      </c>
      <c r="C16" s="8" t="n">
        <v>221</v>
      </c>
    </row>
    <row r="17">
      <c r="A17" s="12" t="inlineStr">
        <is>
          <t>Guardy</t>
        </is>
      </c>
      <c r="B17" s="12" t="inlineStr">
        <is>
          <t>Barça eSports</t>
        </is>
      </c>
      <c r="C17" s="12" t="n">
        <v>220</v>
      </c>
    </row>
    <row r="18">
      <c r="A18" s="8" t="inlineStr">
        <is>
          <t>Takaas</t>
        </is>
      </c>
      <c r="B18" s="8" t="inlineStr">
        <is>
          <t>Mandatory</t>
        </is>
      </c>
      <c r="C18" s="8" t="n">
        <v>220</v>
      </c>
    </row>
    <row r="19">
      <c r="A19" s="12" t="inlineStr">
        <is>
          <t>Serial</t>
        </is>
      </c>
      <c r="B19" s="12" t="inlineStr">
        <is>
          <t>FOKUS</t>
        </is>
      </c>
      <c r="C19" s="12" t="n">
        <v>219</v>
      </c>
    </row>
    <row r="20">
      <c r="A20" s="8" t="inlineStr">
        <is>
          <t>MAGNUM</t>
        </is>
      </c>
      <c r="B20" s="8" t="inlineStr">
        <is>
          <t>Enterprise Esports</t>
        </is>
      </c>
      <c r="C20" s="8" t="n">
        <v>216</v>
      </c>
    </row>
    <row r="21">
      <c r="A21" s="12" t="inlineStr">
        <is>
          <t>pyrolll</t>
        </is>
      </c>
      <c r="B21" s="12" t="inlineStr">
        <is>
          <t>FOKUS</t>
        </is>
      </c>
      <c r="C21" s="12" t="n">
        <v>215</v>
      </c>
    </row>
    <row r="22">
      <c r="A22" s="8" t="inlineStr">
        <is>
          <t>Elite</t>
        </is>
      </c>
      <c r="B22" s="8" t="inlineStr">
        <is>
          <t>Misa Esports</t>
        </is>
      </c>
      <c r="C22" s="8" t="n">
        <v>213</v>
      </c>
    </row>
    <row r="23">
      <c r="A23" s="12" t="inlineStr">
        <is>
          <t>OUKA</t>
        </is>
      </c>
      <c r="B23" s="12" t="inlineStr">
        <is>
          <t>GnG Amazigh</t>
        </is>
      </c>
      <c r="C23" s="12" t="n">
        <v>213</v>
      </c>
    </row>
    <row r="24">
      <c r="A24" s="8" t="inlineStr">
        <is>
          <t>Sh1n</t>
        </is>
      </c>
      <c r="B24" s="8" t="inlineStr">
        <is>
          <t>Mandatory</t>
        </is>
      </c>
      <c r="C24" s="8" t="n">
        <v>210</v>
      </c>
    </row>
    <row r="25">
      <c r="A25" s="12" t="inlineStr">
        <is>
          <t>burzzy</t>
        </is>
      </c>
      <c r="B25" s="12" t="inlineStr">
        <is>
          <t>Misa Esports</t>
        </is>
      </c>
      <c r="C25" s="12" t="n">
        <v>210</v>
      </c>
    </row>
    <row r="26">
      <c r="A26" s="8" t="inlineStr">
        <is>
          <t>Szimpli</t>
        </is>
      </c>
      <c r="B26" s="8" t="inlineStr">
        <is>
          <t>Pixel Lumina</t>
        </is>
      </c>
      <c r="C26" s="8" t="n">
        <v>210</v>
      </c>
    </row>
    <row r="27">
      <c r="A27" s="12" t="inlineStr">
        <is>
          <t>Fizzy</t>
        </is>
      </c>
      <c r="B27" s="12" t="inlineStr">
        <is>
          <t>Eintracht Frankfurt</t>
        </is>
      </c>
      <c r="C27" s="12" t="n">
        <v>208</v>
      </c>
    </row>
    <row r="28">
      <c r="A28" s="8" t="inlineStr">
        <is>
          <t>Sevire</t>
        </is>
      </c>
      <c r="B28" s="8" t="inlineStr">
        <is>
          <t>Mandatory</t>
        </is>
      </c>
      <c r="C28" s="8" t="n">
        <v>208</v>
      </c>
    </row>
    <row r="29">
      <c r="A29" s="12" t="inlineStr">
        <is>
          <t>kospa1n</t>
        </is>
      </c>
      <c r="B29" s="12" t="inlineStr">
        <is>
          <t>MIR</t>
        </is>
      </c>
      <c r="C29" s="12" t="n">
        <v>207</v>
      </c>
    </row>
    <row r="30">
      <c r="A30" s="8" t="inlineStr">
        <is>
          <t>Proxh</t>
        </is>
      </c>
      <c r="B30" s="8" t="inlineStr">
        <is>
          <t>Enterprise Esports</t>
        </is>
      </c>
      <c r="C30" s="8" t="n">
        <v>206</v>
      </c>
    </row>
    <row r="31">
      <c r="A31" s="12" t="inlineStr">
        <is>
          <t>rexxtoned</t>
        </is>
      </c>
      <c r="B31" s="12" t="inlineStr">
        <is>
          <t>Team Liquid Academy</t>
        </is>
      </c>
      <c r="C31" s="12" t="n">
        <v>206</v>
      </c>
    </row>
    <row r="32">
      <c r="A32" s="8" t="inlineStr">
        <is>
          <t>Kamyk</t>
        </is>
      </c>
      <c r="B32" s="8" t="inlineStr">
        <is>
          <t>Joblife</t>
        </is>
      </c>
      <c r="C32" s="8" t="n">
        <v>205</v>
      </c>
    </row>
    <row r="33">
      <c r="A33" s="12" t="inlineStr">
        <is>
          <t>Kicks</t>
        </is>
      </c>
      <c r="B33" s="12" t="inlineStr">
        <is>
          <t>Team Liquid Academy</t>
        </is>
      </c>
      <c r="C33" s="12" t="n">
        <v>205</v>
      </c>
    </row>
    <row r="34">
      <c r="A34" s="8" t="inlineStr">
        <is>
          <t>Raz</t>
        </is>
      </c>
      <c r="B34" s="8" t="inlineStr">
        <is>
          <t>MIR</t>
        </is>
      </c>
      <c r="C34" s="8" t="n">
        <v>205</v>
      </c>
    </row>
    <row r="35">
      <c r="A35" s="12" t="inlineStr">
        <is>
          <t>MiniBoo</t>
        </is>
      </c>
      <c r="B35" s="12" t="inlineStr">
        <is>
          <t>Team Liquid Academy</t>
        </is>
      </c>
      <c r="C35" s="12" t="n">
        <v>204</v>
      </c>
    </row>
    <row r="36">
      <c r="A36" s="8" t="inlineStr">
        <is>
          <t>Chiwa</t>
        </is>
      </c>
      <c r="B36" s="8" t="inlineStr">
        <is>
          <t>Joblife</t>
        </is>
      </c>
      <c r="C36" s="8" t="n">
        <v>203</v>
      </c>
    </row>
    <row r="37">
      <c r="A37" s="12" t="inlineStr">
        <is>
          <t>Deadink</t>
        </is>
      </c>
      <c r="B37" s="12" t="inlineStr">
        <is>
          <t>S2G Esports</t>
        </is>
      </c>
      <c r="C37" s="12" t="n">
        <v>202</v>
      </c>
    </row>
    <row r="38">
      <c r="A38" s="8" t="inlineStr">
        <is>
          <t>nAts</t>
        </is>
      </c>
      <c r="B38" s="8" t="inlineStr">
        <is>
          <t>Team Liquid Academy</t>
        </is>
      </c>
      <c r="C38" s="8" t="n">
        <v>202</v>
      </c>
    </row>
    <row r="39">
      <c r="A39" s="12" t="inlineStr">
        <is>
          <t>Koji</t>
        </is>
      </c>
      <c r="B39" s="12" t="inlineStr">
        <is>
          <t>Stallions Esports</t>
        </is>
      </c>
      <c r="C39" s="12" t="n">
        <v>201</v>
      </c>
    </row>
    <row r="40">
      <c r="A40" s="8" t="inlineStr">
        <is>
          <t>Stonezy</t>
        </is>
      </c>
      <c r="B40" s="8" t="inlineStr">
        <is>
          <t>Barça eSports</t>
        </is>
      </c>
      <c r="C40" s="8" t="n">
        <v>201</v>
      </c>
    </row>
    <row r="41">
      <c r="A41" s="12" t="inlineStr">
        <is>
          <t>kamo</t>
        </is>
      </c>
      <c r="B41" s="12" t="inlineStr">
        <is>
          <t>Team Liquid Academy</t>
        </is>
      </c>
      <c r="C41" s="12" t="n">
        <v>200</v>
      </c>
    </row>
    <row r="42">
      <c r="A42" s="8" t="inlineStr">
        <is>
          <t>MonOkson</t>
        </is>
      </c>
      <c r="B42" s="8" t="inlineStr">
        <is>
          <t>GnG Amazigh</t>
        </is>
      </c>
      <c r="C42" s="8" t="n">
        <v>198</v>
      </c>
    </row>
    <row r="43">
      <c r="A43" s="12" t="inlineStr">
        <is>
          <t>Lime</t>
        </is>
      </c>
      <c r="B43" s="12" t="inlineStr">
        <is>
          <t>Enterprise Esports</t>
        </is>
      </c>
      <c r="C43" s="12" t="n">
        <v>198</v>
      </c>
    </row>
    <row r="44">
      <c r="A44" s="8" t="inlineStr">
        <is>
          <t>OLIZERA</t>
        </is>
      </c>
      <c r="B44" s="8" t="inlineStr">
        <is>
          <t>UCAM Esports</t>
        </is>
      </c>
      <c r="C44" s="8" t="n">
        <v>197</v>
      </c>
    </row>
    <row r="45">
      <c r="A45" s="12" t="inlineStr">
        <is>
          <t>Brave</t>
        </is>
      </c>
      <c r="B45" s="12" t="inlineStr">
        <is>
          <t>Misa Esports</t>
        </is>
      </c>
      <c r="C45" s="12" t="n">
        <v>197</v>
      </c>
    </row>
    <row r="46">
      <c r="A46" s="8" t="inlineStr">
        <is>
          <t>Leare</t>
        </is>
      </c>
      <c r="B46" s="8" t="inlineStr">
        <is>
          <t>Pixel Lumina</t>
        </is>
      </c>
      <c r="C46" s="8" t="n">
        <v>196</v>
      </c>
    </row>
    <row r="47">
      <c r="A47" s="12" t="inlineStr">
        <is>
          <t>rexxtoned</t>
        </is>
      </c>
      <c r="B47" s="12" t="inlineStr">
        <is>
          <t>Team Liquid Academy</t>
        </is>
      </c>
      <c r="C47" s="12" t="n">
        <v>196</v>
      </c>
    </row>
    <row r="48">
      <c r="A48" s="8" t="inlineStr">
        <is>
          <t>azury</t>
        </is>
      </c>
      <c r="B48" s="8" t="inlineStr">
        <is>
          <t>Eintracht Frankfurt</t>
        </is>
      </c>
      <c r="C48" s="8" t="n">
        <v>195</v>
      </c>
    </row>
    <row r="49">
      <c r="A49" s="12" t="inlineStr">
        <is>
          <t>Doma</t>
        </is>
      </c>
      <c r="B49" s="12" t="inlineStr">
        <is>
          <t>Joblife</t>
        </is>
      </c>
      <c r="C49" s="12" t="n">
        <v>195</v>
      </c>
    </row>
    <row r="50">
      <c r="A50" s="8" t="inlineStr">
        <is>
          <t>Chaza</t>
        </is>
      </c>
      <c r="B50" s="8" t="inlineStr">
        <is>
          <t>Pixel Lumina</t>
        </is>
      </c>
      <c r="C50" s="8" t="n">
        <v>195</v>
      </c>
    </row>
    <row r="51">
      <c r="A51" s="12" t="inlineStr">
        <is>
          <t>shinnok</t>
        </is>
      </c>
      <c r="B51" s="12" t="inlineStr">
        <is>
          <t>FOKUS</t>
        </is>
      </c>
      <c r="C51" s="12" t="n">
        <v>194</v>
      </c>
    </row>
    <row r="52">
      <c r="A52" s="8" t="inlineStr">
        <is>
          <t>CUNHA</t>
        </is>
      </c>
      <c r="B52" s="8" t="inlineStr">
        <is>
          <t>GnG Amazigh</t>
        </is>
      </c>
      <c r="C52" s="8" t="n">
        <v>194</v>
      </c>
    </row>
    <row r="53">
      <c r="A53" s="12" t="inlineStr">
        <is>
          <t>Famsii</t>
        </is>
      </c>
      <c r="B53" s="12" t="inlineStr">
        <is>
          <t>UCAM Esports</t>
        </is>
      </c>
      <c r="C53" s="12" t="n">
        <v>193</v>
      </c>
    </row>
    <row r="54">
      <c r="A54" s="8" t="inlineStr">
        <is>
          <t>reazy</t>
        </is>
      </c>
      <c r="B54" s="8" t="inlineStr">
        <is>
          <t>S2G Esports</t>
        </is>
      </c>
      <c r="C54" s="8" t="n">
        <v>192</v>
      </c>
    </row>
    <row r="55">
      <c r="A55" s="12" t="inlineStr">
        <is>
          <t>Natank</t>
        </is>
      </c>
      <c r="B55" s="12" t="inlineStr">
        <is>
          <t>Mandatory</t>
        </is>
      </c>
      <c r="C55" s="12" t="n">
        <v>192</v>
      </c>
    </row>
    <row r="56">
      <c r="A56" s="8" t="inlineStr">
        <is>
          <t>Runner</t>
        </is>
      </c>
      <c r="B56" s="8" t="inlineStr">
        <is>
          <t>Joblife</t>
        </is>
      </c>
      <c r="C56" s="8" t="n">
        <v>190</v>
      </c>
    </row>
    <row r="57">
      <c r="A57" s="12" t="inlineStr">
        <is>
          <t>musashi</t>
        </is>
      </c>
      <c r="B57" s="12" t="inlineStr">
        <is>
          <t>Eintracht Frankfurt</t>
        </is>
      </c>
      <c r="C57" s="12" t="n">
        <v>188</v>
      </c>
    </row>
    <row r="58">
      <c r="A58" s="8" t="inlineStr">
        <is>
          <t>Jesse</t>
        </is>
      </c>
      <c r="B58" s="8" t="inlineStr">
        <is>
          <t>UCAM Esports</t>
        </is>
      </c>
      <c r="C58" s="8" t="n">
        <v>186</v>
      </c>
    </row>
    <row r="59">
      <c r="A59" s="12" t="inlineStr">
        <is>
          <t>Redgar</t>
        </is>
      </c>
      <c r="B59" s="12" t="inlineStr">
        <is>
          <t>MIR</t>
        </is>
      </c>
      <c r="C59" s="12" t="n">
        <v>186</v>
      </c>
    </row>
    <row r="60">
      <c r="A60" s="8" t="inlineStr">
        <is>
          <t>WanZeru</t>
        </is>
      </c>
      <c r="B60" s="8" t="inlineStr">
        <is>
          <t>Team Liquid Academy</t>
        </is>
      </c>
      <c r="C60" s="8" t="n">
        <v>186</v>
      </c>
    </row>
    <row r="61">
      <c r="A61" s="12" t="inlineStr">
        <is>
          <t>BULD</t>
        </is>
      </c>
      <c r="B61" s="12" t="inlineStr">
        <is>
          <t>UCAM Esports</t>
        </is>
      </c>
      <c r="C61" s="12" t="n">
        <v>184</v>
      </c>
    </row>
    <row r="62">
      <c r="A62" s="8" t="inlineStr">
        <is>
          <t xml:space="preserve">Enzo </t>
        </is>
      </c>
      <c r="B62" s="8" t="inlineStr">
        <is>
          <t>Joblife</t>
        </is>
      </c>
      <c r="C62" s="8" t="n">
        <v>183</v>
      </c>
    </row>
    <row r="63">
      <c r="A63" s="12" t="inlineStr">
        <is>
          <t>Tenkai</t>
        </is>
      </c>
      <c r="B63" s="12" t="inlineStr">
        <is>
          <t>GnG Amazigh</t>
        </is>
      </c>
      <c r="C63" s="12" t="n">
        <v>183</v>
      </c>
    </row>
    <row r="64">
      <c r="A64" s="8" t="inlineStr">
        <is>
          <t>LOOP</t>
        </is>
      </c>
      <c r="B64" s="8" t="inlineStr">
        <is>
          <t>GnG Amazigh</t>
        </is>
      </c>
      <c r="C64" s="8" t="n">
        <v>182</v>
      </c>
    </row>
    <row r="65">
      <c r="A65" s="12" t="inlineStr">
        <is>
          <t>Snop</t>
        </is>
      </c>
      <c r="B65" s="12" t="inlineStr">
        <is>
          <t>GnG Amazigh</t>
        </is>
      </c>
      <c r="C65" s="12" t="n">
        <v>182</v>
      </c>
    </row>
    <row r="66">
      <c r="A66" s="8" t="inlineStr">
        <is>
          <t>MOLSI</t>
        </is>
      </c>
      <c r="B66" s="8" t="inlineStr">
        <is>
          <t>FOKUS</t>
        </is>
      </c>
      <c r="C66" s="8" t="n">
        <v>181</v>
      </c>
    </row>
    <row r="67">
      <c r="A67" s="12" t="inlineStr">
        <is>
          <t>Fit1nho</t>
        </is>
      </c>
      <c r="B67" s="12" t="inlineStr">
        <is>
          <t>Barça eSports</t>
        </is>
      </c>
      <c r="C67" s="12" t="n">
        <v>181</v>
      </c>
    </row>
    <row r="68">
      <c r="A68" s="8" t="inlineStr">
        <is>
          <t>batujnax</t>
        </is>
      </c>
      <c r="B68" s="8" t="inlineStr">
        <is>
          <t>S2G Esports</t>
        </is>
      </c>
      <c r="C68" s="8" t="n">
        <v>180</v>
      </c>
    </row>
    <row r="69">
      <c r="A69" s="12" t="inlineStr">
        <is>
          <t>kAdavra</t>
        </is>
      </c>
      <c r="B69" s="12" t="inlineStr">
        <is>
          <t>Mandatory</t>
        </is>
      </c>
      <c r="C69" s="12" t="n">
        <v>180</v>
      </c>
    </row>
    <row r="70">
      <c r="A70" s="8" t="inlineStr">
        <is>
          <t>hezacoil</t>
        </is>
      </c>
      <c r="B70" s="8" t="inlineStr">
        <is>
          <t>S2G Esports</t>
        </is>
      </c>
      <c r="C70" s="8" t="n">
        <v>177</v>
      </c>
    </row>
    <row r="71">
      <c r="A71" s="12" t="inlineStr">
        <is>
          <t>purp0</t>
        </is>
      </c>
      <c r="B71" s="12" t="inlineStr">
        <is>
          <t>Team Liquid Academy</t>
        </is>
      </c>
      <c r="C71" s="12" t="n">
        <v>177</v>
      </c>
    </row>
    <row r="72">
      <c r="A72" s="8" t="inlineStr">
        <is>
          <t>elllement</t>
        </is>
      </c>
      <c r="B72" s="8" t="inlineStr">
        <is>
          <t>Pixel Lumina</t>
        </is>
      </c>
      <c r="C72" s="8" t="n">
        <v>173</v>
      </c>
    </row>
    <row r="73">
      <c r="A73" s="12" t="inlineStr">
        <is>
          <t>Kajuks</t>
        </is>
      </c>
      <c r="B73" s="12" t="inlineStr">
        <is>
          <t>Barça eSports</t>
        </is>
      </c>
      <c r="C73" s="12" t="n">
        <v>172</v>
      </c>
    </row>
    <row r="74">
      <c r="A74" s="8" t="inlineStr">
        <is>
          <t>AL7B</t>
        </is>
      </c>
      <c r="B74" s="8" t="inlineStr">
        <is>
          <t>Stallions Esports</t>
        </is>
      </c>
      <c r="C74" s="8" t="n">
        <v>171</v>
      </c>
    </row>
    <row r="75">
      <c r="A75" s="12" t="inlineStr">
        <is>
          <t>pAura</t>
        </is>
      </c>
      <c r="B75" s="12" t="inlineStr">
        <is>
          <t>Misa Esports</t>
        </is>
      </c>
      <c r="C75" s="12" t="n">
        <v>171</v>
      </c>
    </row>
    <row r="76">
      <c r="A76" s="8" t="inlineStr">
        <is>
          <t>Avvix</t>
        </is>
      </c>
      <c r="B76" s="8" t="inlineStr">
        <is>
          <t>Stallions Esports</t>
        </is>
      </c>
      <c r="C76" s="8" t="n">
        <v>168</v>
      </c>
    </row>
    <row r="77">
      <c r="A77" s="12" t="inlineStr">
        <is>
          <t>kya</t>
        </is>
      </c>
      <c r="B77" s="12" t="inlineStr">
        <is>
          <t>Pixel Lumina</t>
        </is>
      </c>
      <c r="C77" s="12" t="n">
        <v>167</v>
      </c>
    </row>
    <row r="78">
      <c r="A78" s="8" t="inlineStr">
        <is>
          <t>iluri</t>
        </is>
      </c>
      <c r="B78" s="8" t="inlineStr">
        <is>
          <t>Enterprise Esports</t>
        </is>
      </c>
      <c r="C78" s="8" t="n">
        <v>158</v>
      </c>
    </row>
    <row r="79">
      <c r="A79" s="12" t="inlineStr">
        <is>
          <t>Bishepss</t>
        </is>
      </c>
      <c r="B79" s="12" t="inlineStr">
        <is>
          <t>MIR</t>
        </is>
      </c>
      <c r="C79" s="12" t="n">
        <v>158</v>
      </c>
    </row>
    <row r="80">
      <c r="A80" s="8" t="inlineStr">
        <is>
          <t>br1ckzl</t>
        </is>
      </c>
      <c r="B80" s="8" t="inlineStr">
        <is>
          <t>Stallions Esports</t>
        </is>
      </c>
      <c r="C80" s="8" t="n">
        <v>152</v>
      </c>
    </row>
    <row r="81">
      <c r="A81" s="12" t="inlineStr">
        <is>
          <t>prti</t>
        </is>
      </c>
      <c r="B81" s="12" t="inlineStr">
        <is>
          <t>Team Liquid Academy</t>
        </is>
      </c>
      <c r="C81" s="12" t="n">
        <v>132</v>
      </c>
    </row>
    <row r="82">
      <c r="A82" s="8" t="inlineStr">
        <is>
          <t>Saud</t>
        </is>
      </c>
      <c r="B82" s="8" t="inlineStr">
        <is>
          <t>Stallions Esports</t>
        </is>
      </c>
      <c r="C82" s="8" t="n">
        <v>122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33333"/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Ign</t>
        </is>
      </c>
      <c r="B1" s="4" t="inlineStr">
        <is>
          <t>Team</t>
        </is>
      </c>
      <c r="C1" s="4" t="inlineStr">
        <is>
          <t>First Kills</t>
        </is>
      </c>
    </row>
    <row r="2">
      <c r="A2" s="8" t="inlineStr">
        <is>
          <t>B1SK</t>
        </is>
      </c>
      <c r="B2" s="8" t="inlineStr">
        <is>
          <t>UCAM Esports</t>
        </is>
      </c>
      <c r="C2" s="8" t="n">
        <v>201</v>
      </c>
    </row>
    <row r="3">
      <c r="A3" s="12" t="inlineStr">
        <is>
          <t>pa1ze</t>
        </is>
      </c>
      <c r="B3" s="12" t="inlineStr">
        <is>
          <t>FOKUS</t>
        </is>
      </c>
      <c r="C3" s="12" t="n">
        <v>167</v>
      </c>
    </row>
    <row r="4">
      <c r="A4" s="8" t="inlineStr">
        <is>
          <t>Jamelinho</t>
        </is>
      </c>
      <c r="B4" s="8" t="inlineStr">
        <is>
          <t>Eintracht Frankfurt</t>
        </is>
      </c>
      <c r="C4" s="8" t="n">
        <v>167</v>
      </c>
    </row>
    <row r="5">
      <c r="A5" s="12" t="inlineStr">
        <is>
          <t>pyrolll</t>
        </is>
      </c>
      <c r="B5" s="12" t="inlineStr">
        <is>
          <t>FOKUS</t>
        </is>
      </c>
      <c r="C5" s="12" t="n">
        <v>139</v>
      </c>
    </row>
    <row r="6">
      <c r="A6" s="8" t="inlineStr">
        <is>
          <t>Serial</t>
        </is>
      </c>
      <c r="B6" s="8" t="inlineStr">
        <is>
          <t>FOKUS</t>
        </is>
      </c>
      <c r="C6" s="8" t="n">
        <v>125</v>
      </c>
    </row>
    <row r="7">
      <c r="A7" s="12" t="inlineStr">
        <is>
          <t>globeX</t>
        </is>
      </c>
      <c r="B7" s="12" t="inlineStr">
        <is>
          <t>Barça eSports</t>
        </is>
      </c>
      <c r="C7" s="12" t="n">
        <v>123</v>
      </c>
    </row>
    <row r="8">
      <c r="A8" s="8" t="inlineStr">
        <is>
          <t>Kachoww</t>
        </is>
      </c>
      <c r="B8" s="8" t="inlineStr">
        <is>
          <t>S2G Esports</t>
        </is>
      </c>
      <c r="C8" s="8" t="n">
        <v>112</v>
      </c>
    </row>
    <row r="9">
      <c r="A9" s="12" t="inlineStr">
        <is>
          <t>Takaas</t>
        </is>
      </c>
      <c r="B9" s="12" t="inlineStr">
        <is>
          <t>Mandatory</t>
        </is>
      </c>
      <c r="C9" s="12" t="n">
        <v>105</v>
      </c>
    </row>
    <row r="10">
      <c r="A10" s="8" t="inlineStr">
        <is>
          <t>Susano</t>
        </is>
      </c>
      <c r="B10" s="8" t="inlineStr">
        <is>
          <t>Stallions Esports</t>
        </is>
      </c>
      <c r="C10" s="8" t="n">
        <v>103</v>
      </c>
    </row>
    <row r="11">
      <c r="A11" s="12" t="inlineStr">
        <is>
          <t>Akai</t>
        </is>
      </c>
      <c r="B11" s="12" t="inlineStr">
        <is>
          <t>Stallions Esports</t>
        </is>
      </c>
      <c r="C11" s="12" t="n">
        <v>101</v>
      </c>
    </row>
    <row r="12">
      <c r="A12" s="8" t="inlineStr">
        <is>
          <t>Runner</t>
        </is>
      </c>
      <c r="B12" s="8" t="inlineStr">
        <is>
          <t>Joblife</t>
        </is>
      </c>
      <c r="C12" s="8" t="n">
        <v>94</v>
      </c>
    </row>
    <row r="13">
      <c r="A13" s="12" t="inlineStr">
        <is>
          <t>BULD</t>
        </is>
      </c>
      <c r="B13" s="12" t="inlineStr">
        <is>
          <t>UCAM Esports</t>
        </is>
      </c>
      <c r="C13" s="12" t="n">
        <v>89</v>
      </c>
    </row>
    <row r="14">
      <c r="A14" s="8" t="inlineStr">
        <is>
          <t>Doma</t>
        </is>
      </c>
      <c r="B14" s="8" t="inlineStr">
        <is>
          <t>Joblife</t>
        </is>
      </c>
      <c r="C14" s="8" t="n">
        <v>89</v>
      </c>
    </row>
    <row r="15">
      <c r="A15" s="12" t="inlineStr">
        <is>
          <t>Deadink</t>
        </is>
      </c>
      <c r="B15" s="12" t="inlineStr">
        <is>
          <t>S2G Esports</t>
        </is>
      </c>
      <c r="C15" s="12" t="n">
        <v>88</v>
      </c>
    </row>
    <row r="16">
      <c r="A16" s="8" t="inlineStr">
        <is>
          <t>kozzy</t>
        </is>
      </c>
      <c r="B16" s="8" t="inlineStr">
        <is>
          <t>Enterprise Esports</t>
        </is>
      </c>
      <c r="C16" s="8" t="n">
        <v>83</v>
      </c>
    </row>
    <row r="17">
      <c r="A17" s="12" t="inlineStr">
        <is>
          <t>MONSTEERR</t>
        </is>
      </c>
      <c r="B17" s="12" t="inlineStr">
        <is>
          <t>Eintracht Frankfurt</t>
        </is>
      </c>
      <c r="C17" s="12" t="n">
        <v>77</v>
      </c>
    </row>
    <row r="18">
      <c r="A18" s="8" t="inlineStr">
        <is>
          <t>Famsii</t>
        </is>
      </c>
      <c r="B18" s="8" t="inlineStr">
        <is>
          <t>UCAM Esports</t>
        </is>
      </c>
      <c r="C18" s="8" t="n">
        <v>77</v>
      </c>
    </row>
    <row r="19">
      <c r="A19" s="12" t="inlineStr">
        <is>
          <t>QutionerX</t>
        </is>
      </c>
      <c r="B19" s="12" t="inlineStr">
        <is>
          <t>Misa Esports</t>
        </is>
      </c>
      <c r="C19" s="12" t="n">
        <v>77</v>
      </c>
    </row>
    <row r="20">
      <c r="A20" s="8" t="inlineStr">
        <is>
          <t>azury</t>
        </is>
      </c>
      <c r="B20" s="8" t="inlineStr">
        <is>
          <t>Eintracht Frankfurt</t>
        </is>
      </c>
      <c r="C20" s="8" t="n">
        <v>75</v>
      </c>
    </row>
    <row r="21">
      <c r="A21" s="12" t="inlineStr">
        <is>
          <t>LOOP</t>
        </is>
      </c>
      <c r="B21" s="12" t="inlineStr">
        <is>
          <t>GnG Amazigh</t>
        </is>
      </c>
      <c r="C21" s="12" t="n">
        <v>74</v>
      </c>
    </row>
    <row r="22">
      <c r="A22" s="8" t="inlineStr">
        <is>
          <t>OUKA</t>
        </is>
      </c>
      <c r="B22" s="8" t="inlineStr">
        <is>
          <t>GnG Amazigh</t>
        </is>
      </c>
      <c r="C22" s="8" t="n">
        <v>71</v>
      </c>
    </row>
    <row r="23">
      <c r="A23" s="12" t="inlineStr">
        <is>
          <t>Fizzy</t>
        </is>
      </c>
      <c r="B23" s="12" t="inlineStr">
        <is>
          <t>Eintracht Frankfurt</t>
        </is>
      </c>
      <c r="C23" s="12" t="n">
        <v>70</v>
      </c>
    </row>
    <row r="24">
      <c r="A24" s="8" t="inlineStr">
        <is>
          <t>Snop</t>
        </is>
      </c>
      <c r="B24" s="8" t="inlineStr">
        <is>
          <t>GnG Amazigh</t>
        </is>
      </c>
      <c r="C24" s="8" t="n">
        <v>70</v>
      </c>
    </row>
    <row r="25">
      <c r="A25" s="12" t="inlineStr">
        <is>
          <t>Lime</t>
        </is>
      </c>
      <c r="B25" s="12" t="inlineStr">
        <is>
          <t>Enterprise Esports</t>
        </is>
      </c>
      <c r="C25" s="12" t="n">
        <v>69</v>
      </c>
    </row>
    <row r="26">
      <c r="A26" s="8" t="inlineStr">
        <is>
          <t>Tenkai</t>
        </is>
      </c>
      <c r="B26" s="8" t="inlineStr">
        <is>
          <t>GnG Amazigh</t>
        </is>
      </c>
      <c r="C26" s="8" t="n">
        <v>69</v>
      </c>
    </row>
    <row r="27">
      <c r="A27" s="12" t="inlineStr">
        <is>
          <t>Chiwa</t>
        </is>
      </c>
      <c r="B27" s="12" t="inlineStr">
        <is>
          <t>Joblife</t>
        </is>
      </c>
      <c r="C27" s="12" t="n">
        <v>67</v>
      </c>
    </row>
    <row r="28">
      <c r="A28" s="8" t="inlineStr">
        <is>
          <t>Guardy</t>
        </is>
      </c>
      <c r="B28" s="8" t="inlineStr">
        <is>
          <t>Barça eSports</t>
        </is>
      </c>
      <c r="C28" s="8" t="n">
        <v>67</v>
      </c>
    </row>
    <row r="29">
      <c r="A29" s="12" t="inlineStr">
        <is>
          <t>Sevire</t>
        </is>
      </c>
      <c r="B29" s="12" t="inlineStr">
        <is>
          <t>Mandatory</t>
        </is>
      </c>
      <c r="C29" s="12" t="n">
        <v>67</v>
      </c>
    </row>
    <row r="30">
      <c r="A30" s="8" t="inlineStr">
        <is>
          <t>Wanzeru</t>
        </is>
      </c>
      <c r="B30" s="8" t="inlineStr">
        <is>
          <t>Team Liquid Academy</t>
        </is>
      </c>
      <c r="C30" s="8" t="n">
        <v>67</v>
      </c>
    </row>
    <row r="31">
      <c r="A31" s="12" t="inlineStr">
        <is>
          <t>OLIZERA</t>
        </is>
      </c>
      <c r="B31" s="12" t="inlineStr">
        <is>
          <t>UCAM Esports</t>
        </is>
      </c>
      <c r="C31" s="12" t="n">
        <v>65</v>
      </c>
    </row>
    <row r="32">
      <c r="A32" s="8" t="inlineStr">
        <is>
          <t>MOLSI</t>
        </is>
      </c>
      <c r="B32" s="8" t="inlineStr">
        <is>
          <t>FOKUS</t>
        </is>
      </c>
      <c r="C32" s="8" t="n">
        <v>63</v>
      </c>
    </row>
    <row r="33">
      <c r="A33" s="12" t="inlineStr">
        <is>
          <t>GSR</t>
        </is>
      </c>
      <c r="B33" s="12" t="inlineStr">
        <is>
          <t>Team Liquid Academy</t>
        </is>
      </c>
      <c r="C33" s="12" t="n">
        <v>62</v>
      </c>
    </row>
    <row r="34">
      <c r="A34" s="8" t="inlineStr">
        <is>
          <t>musashi</t>
        </is>
      </c>
      <c r="B34" s="8" t="inlineStr">
        <is>
          <t>Eintracht Frankfurt</t>
        </is>
      </c>
      <c r="C34" s="8" t="n">
        <v>60</v>
      </c>
    </row>
    <row r="35">
      <c r="A35" s="12" t="inlineStr">
        <is>
          <t>Kamyk</t>
        </is>
      </c>
      <c r="B35" s="12" t="inlineStr">
        <is>
          <t>Joblife</t>
        </is>
      </c>
      <c r="C35" s="12" t="n">
        <v>60</v>
      </c>
    </row>
    <row r="36">
      <c r="A36" s="8" t="inlineStr">
        <is>
          <t>reazy</t>
        </is>
      </c>
      <c r="B36" s="8" t="inlineStr">
        <is>
          <t>S2G Esports</t>
        </is>
      </c>
      <c r="C36" s="8" t="n">
        <v>60</v>
      </c>
    </row>
    <row r="37">
      <c r="A37" s="12" t="inlineStr">
        <is>
          <t>Koji</t>
        </is>
      </c>
      <c r="B37" s="12" t="inlineStr">
        <is>
          <t>Stallions Esports</t>
        </is>
      </c>
      <c r="C37" s="12" t="n">
        <v>59</v>
      </c>
    </row>
    <row r="38">
      <c r="A38" s="8" t="inlineStr">
        <is>
          <t>CUNHA</t>
        </is>
      </c>
      <c r="B38" s="8" t="inlineStr">
        <is>
          <t>GnG Amazigh</t>
        </is>
      </c>
      <c r="C38" s="8" t="n">
        <v>56</v>
      </c>
    </row>
    <row r="39">
      <c r="A39" s="12" t="inlineStr">
        <is>
          <t>MonOkson</t>
        </is>
      </c>
      <c r="B39" s="12" t="inlineStr">
        <is>
          <t>GnG Amazigh</t>
        </is>
      </c>
      <c r="C39" s="12" t="n">
        <v>56</v>
      </c>
    </row>
    <row r="40">
      <c r="A40" s="8" t="inlineStr">
        <is>
          <t>Stonezy</t>
        </is>
      </c>
      <c r="B40" s="8" t="inlineStr">
        <is>
          <t>Barça eSports</t>
        </is>
      </c>
      <c r="C40" s="8" t="n">
        <v>56</v>
      </c>
    </row>
    <row r="41">
      <c r="A41" s="12" t="inlineStr">
        <is>
          <t>MAGNUM</t>
        </is>
      </c>
      <c r="B41" s="12" t="inlineStr">
        <is>
          <t>Enterprise Esports</t>
        </is>
      </c>
      <c r="C41" s="12" t="n">
        <v>55</v>
      </c>
    </row>
    <row r="42">
      <c r="A42" s="8" t="inlineStr">
        <is>
          <t>Fit1nho</t>
        </is>
      </c>
      <c r="B42" s="8" t="inlineStr">
        <is>
          <t>Barça eSports</t>
        </is>
      </c>
      <c r="C42" s="8" t="n">
        <v>53</v>
      </c>
    </row>
    <row r="43">
      <c r="A43" s="12" t="inlineStr">
        <is>
          <t>Brave</t>
        </is>
      </c>
      <c r="B43" s="12" t="inlineStr">
        <is>
          <t>Misa Esports</t>
        </is>
      </c>
      <c r="C43" s="12" t="n">
        <v>53</v>
      </c>
    </row>
    <row r="44">
      <c r="A44" s="8" t="inlineStr">
        <is>
          <t>Natank</t>
        </is>
      </c>
      <c r="B44" s="8" t="inlineStr">
        <is>
          <t>Mandatory</t>
        </is>
      </c>
      <c r="C44" s="8" t="n">
        <v>52</v>
      </c>
    </row>
    <row r="45">
      <c r="A45" s="12" t="inlineStr">
        <is>
          <t>shinnok</t>
        </is>
      </c>
      <c r="B45" s="12" t="inlineStr">
        <is>
          <t>FOKUS</t>
        </is>
      </c>
      <c r="C45" s="12" t="n">
        <v>51</v>
      </c>
    </row>
    <row r="46">
      <c r="A46" s="8" t="inlineStr">
        <is>
          <t>Jesse</t>
        </is>
      </c>
      <c r="B46" s="8" t="inlineStr">
        <is>
          <t>UCAM Esports</t>
        </is>
      </c>
      <c r="C46" s="8" t="n">
        <v>50</v>
      </c>
    </row>
    <row r="47">
      <c r="A47" s="12" t="inlineStr">
        <is>
          <t>Sh1n</t>
        </is>
      </c>
      <c r="B47" s="12" t="inlineStr">
        <is>
          <t>Mandatory</t>
        </is>
      </c>
      <c r="C47" s="12" t="n">
        <v>49</v>
      </c>
    </row>
    <row r="48">
      <c r="A48" s="8" t="inlineStr">
        <is>
          <t>Elite</t>
        </is>
      </c>
      <c r="B48" s="8" t="inlineStr">
        <is>
          <t>Misa Esports</t>
        </is>
      </c>
      <c r="C48" s="8" t="n">
        <v>46</v>
      </c>
    </row>
    <row r="49">
      <c r="A49" s="12" t="inlineStr">
        <is>
          <t>burzzy</t>
        </is>
      </c>
      <c r="B49" s="12" t="inlineStr">
        <is>
          <t>Misa Esports</t>
        </is>
      </c>
      <c r="C49" s="12" t="n">
        <v>46</v>
      </c>
    </row>
    <row r="50">
      <c r="A50" s="8" t="inlineStr">
        <is>
          <t xml:space="preserve">Enzo </t>
        </is>
      </c>
      <c r="B50" s="8" t="inlineStr">
        <is>
          <t>Joblife</t>
        </is>
      </c>
      <c r="C50" s="8" t="n">
        <v>44</v>
      </c>
    </row>
    <row r="51">
      <c r="A51" s="12" t="inlineStr">
        <is>
          <t>Kajuks</t>
        </is>
      </c>
      <c r="B51" s="12" t="inlineStr">
        <is>
          <t>Barça eSports</t>
        </is>
      </c>
      <c r="C51" s="12" t="n">
        <v>44</v>
      </c>
    </row>
    <row r="52">
      <c r="A52" s="8" t="inlineStr">
        <is>
          <t>kAdavra</t>
        </is>
      </c>
      <c r="B52" s="8" t="inlineStr">
        <is>
          <t>Mandatory</t>
        </is>
      </c>
      <c r="C52" s="8" t="n">
        <v>43</v>
      </c>
    </row>
    <row r="53">
      <c r="A53" s="12" t="inlineStr">
        <is>
          <t>Kicks</t>
        </is>
      </c>
      <c r="B53" s="12" t="inlineStr">
        <is>
          <t>Team Liquid Academy</t>
        </is>
      </c>
      <c r="C53" s="12" t="n">
        <v>42</v>
      </c>
    </row>
    <row r="54">
      <c r="A54" s="8" t="inlineStr">
        <is>
          <t>hezacoil</t>
        </is>
      </c>
      <c r="B54" s="8" t="inlineStr">
        <is>
          <t>S2G Esports</t>
        </is>
      </c>
      <c r="C54" s="8" t="n">
        <v>39</v>
      </c>
    </row>
    <row r="55">
      <c r="A55" s="12" t="inlineStr">
        <is>
          <t>batujnax</t>
        </is>
      </c>
      <c r="B55" s="12" t="inlineStr">
        <is>
          <t>S2G Esports</t>
        </is>
      </c>
      <c r="C55" s="12" t="n">
        <v>39</v>
      </c>
    </row>
    <row r="56">
      <c r="A56" s="8" t="inlineStr">
        <is>
          <t>Proxh</t>
        </is>
      </c>
      <c r="B56" s="8" t="inlineStr">
        <is>
          <t>Enterprise Esports</t>
        </is>
      </c>
      <c r="C56" s="8" t="n">
        <v>38</v>
      </c>
    </row>
    <row r="57">
      <c r="A57" s="12" t="inlineStr">
        <is>
          <t>Szimpli</t>
        </is>
      </c>
      <c r="B57" s="12" t="inlineStr">
        <is>
          <t>Pixel Lumina</t>
        </is>
      </c>
      <c r="C57" s="12" t="n">
        <v>37</v>
      </c>
    </row>
    <row r="58">
      <c r="A58" s="8" t="inlineStr">
        <is>
          <t>rexxtoned</t>
        </is>
      </c>
      <c r="B58" s="8" t="inlineStr">
        <is>
          <t>Team Liquid Academy</t>
        </is>
      </c>
      <c r="C58" s="8" t="n">
        <v>36</v>
      </c>
    </row>
    <row r="59">
      <c r="A59" s="12" t="inlineStr">
        <is>
          <t>pAura</t>
        </is>
      </c>
      <c r="B59" s="12" t="inlineStr">
        <is>
          <t>Misa Esports</t>
        </is>
      </c>
      <c r="C59" s="12" t="n">
        <v>33</v>
      </c>
    </row>
    <row r="60">
      <c r="A60" s="8" t="inlineStr">
        <is>
          <t>Raz</t>
        </is>
      </c>
      <c r="B60" s="8" t="inlineStr">
        <is>
          <t>MIR</t>
        </is>
      </c>
      <c r="C60" s="8" t="n">
        <v>33</v>
      </c>
    </row>
    <row r="61">
      <c r="A61" s="12" t="inlineStr">
        <is>
          <t>WanZeru</t>
        </is>
      </c>
      <c r="B61" s="12" t="inlineStr">
        <is>
          <t>Team Liquid Academy</t>
        </is>
      </c>
      <c r="C61" s="12" t="n">
        <v>33</v>
      </c>
    </row>
    <row r="62">
      <c r="A62" s="8" t="inlineStr">
        <is>
          <t>kospa1n</t>
        </is>
      </c>
      <c r="B62" s="8" t="inlineStr">
        <is>
          <t>MIR</t>
        </is>
      </c>
      <c r="C62" s="8" t="n">
        <v>32</v>
      </c>
    </row>
    <row r="63">
      <c r="A63" s="12" t="inlineStr">
        <is>
          <t>swagzor</t>
        </is>
      </c>
      <c r="B63" s="12" t="inlineStr">
        <is>
          <t>Enterprise Esports</t>
        </is>
      </c>
      <c r="C63" s="12" t="n">
        <v>32</v>
      </c>
    </row>
    <row r="64">
      <c r="A64" s="8" t="inlineStr">
        <is>
          <t>Chaza</t>
        </is>
      </c>
      <c r="B64" s="8" t="inlineStr">
        <is>
          <t>Pixel Lumina</t>
        </is>
      </c>
      <c r="C64" s="8" t="n">
        <v>31</v>
      </c>
    </row>
    <row r="65">
      <c r="A65" s="12" t="inlineStr">
        <is>
          <t>Avvix</t>
        </is>
      </c>
      <c r="B65" s="12" t="inlineStr">
        <is>
          <t>Stallions Esports</t>
        </is>
      </c>
      <c r="C65" s="12" t="n">
        <v>30</v>
      </c>
    </row>
    <row r="66">
      <c r="A66" s="8" t="inlineStr">
        <is>
          <t>GSR</t>
        </is>
      </c>
      <c r="B66" s="8" t="inlineStr">
        <is>
          <t>Team Liquid Academy</t>
        </is>
      </c>
      <c r="C66" s="8" t="n">
        <v>27</v>
      </c>
    </row>
    <row r="67">
      <c r="A67" s="12" t="inlineStr">
        <is>
          <t>Leare</t>
        </is>
      </c>
      <c r="B67" s="12" t="inlineStr">
        <is>
          <t>Pixel Lumina</t>
        </is>
      </c>
      <c r="C67" s="12" t="n">
        <v>26</v>
      </c>
    </row>
    <row r="68">
      <c r="A68" s="8" t="inlineStr">
        <is>
          <t>AL7B</t>
        </is>
      </c>
      <c r="B68" s="8" t="inlineStr">
        <is>
          <t>Stallions Esports</t>
        </is>
      </c>
      <c r="C68" s="8" t="n">
        <v>25</v>
      </c>
    </row>
    <row r="69">
      <c r="A69" s="12" t="inlineStr">
        <is>
          <t>iluri</t>
        </is>
      </c>
      <c r="B69" s="12" t="inlineStr">
        <is>
          <t>Enterprise Esports</t>
        </is>
      </c>
      <c r="C69" s="12" t="n">
        <v>24</v>
      </c>
    </row>
    <row r="70">
      <c r="A70" s="8" t="inlineStr">
        <is>
          <t>reblyik</t>
        </is>
      </c>
      <c r="B70" s="8" t="inlineStr">
        <is>
          <t>MIR</t>
        </is>
      </c>
      <c r="C70" s="8" t="n">
        <v>22</v>
      </c>
    </row>
    <row r="71">
      <c r="A71" s="12" t="inlineStr">
        <is>
          <t>rexxtoned</t>
        </is>
      </c>
      <c r="B71" s="12" t="inlineStr">
        <is>
          <t>Team Liquid Academy</t>
        </is>
      </c>
      <c r="C71" s="12" t="n">
        <v>21</v>
      </c>
    </row>
    <row r="72">
      <c r="A72" s="8" t="inlineStr">
        <is>
          <t>elllement</t>
        </is>
      </c>
      <c r="B72" s="8" t="inlineStr">
        <is>
          <t>Pixel Lumina</t>
        </is>
      </c>
      <c r="C72" s="8" t="n">
        <v>19</v>
      </c>
    </row>
    <row r="73">
      <c r="A73" s="12" t="inlineStr">
        <is>
          <t>MiniBoo</t>
        </is>
      </c>
      <c r="B73" s="12" t="inlineStr">
        <is>
          <t>Team Liquid Academy</t>
        </is>
      </c>
      <c r="C73" s="12" t="n">
        <v>17</v>
      </c>
    </row>
    <row r="74">
      <c r="A74" s="8" t="inlineStr">
        <is>
          <t>kya</t>
        </is>
      </c>
      <c r="B74" s="8" t="inlineStr">
        <is>
          <t>Pixel Lumina</t>
        </is>
      </c>
      <c r="C74" s="8" t="n">
        <v>15</v>
      </c>
    </row>
    <row r="75">
      <c r="A75" s="12" t="inlineStr">
        <is>
          <t>Bishepss</t>
        </is>
      </c>
      <c r="B75" s="12" t="inlineStr">
        <is>
          <t>MIR</t>
        </is>
      </c>
      <c r="C75" s="12" t="n">
        <v>11</v>
      </c>
    </row>
    <row r="76">
      <c r="A76" s="8" t="inlineStr">
        <is>
          <t>prti</t>
        </is>
      </c>
      <c r="B76" s="8" t="inlineStr">
        <is>
          <t>Team Liquid Academy</t>
        </is>
      </c>
      <c r="C76" s="8" t="n">
        <v>11</v>
      </c>
    </row>
    <row r="77">
      <c r="A77" s="12" t="inlineStr">
        <is>
          <t>Redgar</t>
        </is>
      </c>
      <c r="B77" s="12" t="inlineStr">
        <is>
          <t>MIR</t>
        </is>
      </c>
      <c r="C77" s="12" t="n">
        <v>8</v>
      </c>
    </row>
    <row r="78">
      <c r="A78" s="8" t="inlineStr">
        <is>
          <t>nAts</t>
        </is>
      </c>
      <c r="B78" s="8" t="inlineStr">
        <is>
          <t>Team Liquid Academy</t>
        </is>
      </c>
      <c r="C78" s="8" t="n">
        <v>7</v>
      </c>
    </row>
    <row r="79">
      <c r="A79" s="12" t="inlineStr">
        <is>
          <t>br1ckzl</t>
        </is>
      </c>
      <c r="B79" s="12" t="inlineStr">
        <is>
          <t>Stallions Esports</t>
        </is>
      </c>
      <c r="C79" s="12" t="n">
        <v>6</v>
      </c>
    </row>
    <row r="80">
      <c r="A80" s="8" t="inlineStr">
        <is>
          <t>purp0</t>
        </is>
      </c>
      <c r="B80" s="8" t="inlineStr">
        <is>
          <t>Team Liquid Academy</t>
        </is>
      </c>
      <c r="C80" s="8" t="n">
        <v>4</v>
      </c>
    </row>
    <row r="81">
      <c r="A81" s="12" t="inlineStr">
        <is>
          <t>Saud</t>
        </is>
      </c>
      <c r="B81" s="12" t="inlineStr">
        <is>
          <t>Stallions Esports</t>
        </is>
      </c>
      <c r="C81" s="12" t="n">
        <v>3</v>
      </c>
    </row>
    <row r="82">
      <c r="A82" s="8" t="inlineStr">
        <is>
          <t>kamo</t>
        </is>
      </c>
      <c r="B82" s="8" t="inlineStr">
        <is>
          <t>Team Liquid Academy</t>
        </is>
      </c>
      <c r="C82" s="8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33333"/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Ign</t>
        </is>
      </c>
      <c r="B1" s="4" t="inlineStr">
        <is>
          <t>Team</t>
        </is>
      </c>
      <c r="C1" s="4" t="inlineStr">
        <is>
          <t>First Deaths</t>
        </is>
      </c>
    </row>
    <row r="2">
      <c r="A2" s="8" t="inlineStr">
        <is>
          <t>pa1ze</t>
        </is>
      </c>
      <c r="B2" s="8" t="inlineStr">
        <is>
          <t>FOKUS</t>
        </is>
      </c>
      <c r="C2" s="8" t="n">
        <v>166</v>
      </c>
    </row>
    <row r="3">
      <c r="A3" s="12" t="inlineStr">
        <is>
          <t>Jamelinho</t>
        </is>
      </c>
      <c r="B3" s="12" t="inlineStr">
        <is>
          <t>Eintracht Frankfurt</t>
        </is>
      </c>
      <c r="C3" s="12" t="n">
        <v>166</v>
      </c>
    </row>
    <row r="4">
      <c r="A4" s="8" t="inlineStr">
        <is>
          <t>B1SK</t>
        </is>
      </c>
      <c r="B4" s="8" t="inlineStr">
        <is>
          <t>UCAM Esports</t>
        </is>
      </c>
      <c r="C4" s="8" t="n">
        <v>134</v>
      </c>
    </row>
    <row r="5">
      <c r="A5" s="12" t="inlineStr">
        <is>
          <t>Runner</t>
        </is>
      </c>
      <c r="B5" s="12" t="inlineStr">
        <is>
          <t>Joblife</t>
        </is>
      </c>
      <c r="C5" s="12" t="n">
        <v>120</v>
      </c>
    </row>
    <row r="6">
      <c r="A6" s="8" t="inlineStr">
        <is>
          <t>OLIZERA</t>
        </is>
      </c>
      <c r="B6" s="8" t="inlineStr">
        <is>
          <t>UCAM Esports</t>
        </is>
      </c>
      <c r="C6" s="8" t="n">
        <v>100</v>
      </c>
    </row>
    <row r="7">
      <c r="A7" s="12" t="inlineStr">
        <is>
          <t>Serial</t>
        </is>
      </c>
      <c r="B7" s="12" t="inlineStr">
        <is>
          <t>FOKUS</t>
        </is>
      </c>
      <c r="C7" s="12" t="n">
        <v>99</v>
      </c>
    </row>
    <row r="8">
      <c r="A8" s="8" t="inlineStr">
        <is>
          <t>BULD</t>
        </is>
      </c>
      <c r="B8" s="8" t="inlineStr">
        <is>
          <t>UCAM Esports</t>
        </is>
      </c>
      <c r="C8" s="8" t="n">
        <v>99</v>
      </c>
    </row>
    <row r="9">
      <c r="A9" s="12" t="inlineStr">
        <is>
          <t>Susano</t>
        </is>
      </c>
      <c r="B9" s="12" t="inlineStr">
        <is>
          <t>Stallions Esports</t>
        </is>
      </c>
      <c r="C9" s="12" t="n">
        <v>97</v>
      </c>
    </row>
    <row r="10">
      <c r="A10" s="8" t="inlineStr">
        <is>
          <t>pyrolll</t>
        </is>
      </c>
      <c r="B10" s="8" t="inlineStr">
        <is>
          <t>FOKUS</t>
        </is>
      </c>
      <c r="C10" s="8" t="n">
        <v>94</v>
      </c>
    </row>
    <row r="11">
      <c r="A11" s="12" t="inlineStr">
        <is>
          <t>Takaas</t>
        </is>
      </c>
      <c r="B11" s="12" t="inlineStr">
        <is>
          <t>Mandatory</t>
        </is>
      </c>
      <c r="C11" s="12" t="n">
        <v>93</v>
      </c>
    </row>
    <row r="12">
      <c r="A12" s="8" t="inlineStr">
        <is>
          <t>Akai</t>
        </is>
      </c>
      <c r="B12" s="8" t="inlineStr">
        <is>
          <t>Stallions Esports</t>
        </is>
      </c>
      <c r="C12" s="8" t="n">
        <v>91</v>
      </c>
    </row>
    <row r="13">
      <c r="A13" s="12" t="inlineStr">
        <is>
          <t>Famsii</t>
        </is>
      </c>
      <c r="B13" s="12" t="inlineStr">
        <is>
          <t>UCAM Esports</t>
        </is>
      </c>
      <c r="C13" s="12" t="n">
        <v>86</v>
      </c>
    </row>
    <row r="14">
      <c r="A14" s="8" t="inlineStr">
        <is>
          <t>MONSTEERR</t>
        </is>
      </c>
      <c r="B14" s="8" t="inlineStr">
        <is>
          <t>Eintracht Frankfurt</t>
        </is>
      </c>
      <c r="C14" s="8" t="n">
        <v>81</v>
      </c>
    </row>
    <row r="15">
      <c r="A15" s="12" t="inlineStr">
        <is>
          <t>Tenkai</t>
        </is>
      </c>
      <c r="B15" s="12" t="inlineStr">
        <is>
          <t>GnG Amazigh</t>
        </is>
      </c>
      <c r="C15" s="12" t="n">
        <v>79</v>
      </c>
    </row>
    <row r="16">
      <c r="A16" s="8" t="inlineStr">
        <is>
          <t>azury</t>
        </is>
      </c>
      <c r="B16" s="8" t="inlineStr">
        <is>
          <t>Eintracht Frankfurt</t>
        </is>
      </c>
      <c r="C16" s="8" t="n">
        <v>78</v>
      </c>
    </row>
    <row r="17">
      <c r="A17" s="12" t="inlineStr">
        <is>
          <t>Deadink</t>
        </is>
      </c>
      <c r="B17" s="12" t="inlineStr">
        <is>
          <t>S2G Esports</t>
        </is>
      </c>
      <c r="C17" s="12" t="n">
        <v>76</v>
      </c>
    </row>
    <row r="18">
      <c r="A18" s="8" t="inlineStr">
        <is>
          <t>Kachoww</t>
        </is>
      </c>
      <c r="B18" s="8" t="inlineStr">
        <is>
          <t>S2G Esports</t>
        </is>
      </c>
      <c r="C18" s="8" t="n">
        <v>75</v>
      </c>
    </row>
    <row r="19">
      <c r="A19" s="12" t="inlineStr">
        <is>
          <t>globeX</t>
        </is>
      </c>
      <c r="B19" s="12" t="inlineStr">
        <is>
          <t>Barça eSports</t>
        </is>
      </c>
      <c r="C19" s="12" t="n">
        <v>73</v>
      </c>
    </row>
    <row r="20">
      <c r="A20" s="8" t="inlineStr">
        <is>
          <t>LOOP</t>
        </is>
      </c>
      <c r="B20" s="8" t="inlineStr">
        <is>
          <t>GnG Amazigh</t>
        </is>
      </c>
      <c r="C20" s="8" t="n">
        <v>73</v>
      </c>
    </row>
    <row r="21">
      <c r="A21" s="12" t="inlineStr">
        <is>
          <t>Snop</t>
        </is>
      </c>
      <c r="B21" s="12" t="inlineStr">
        <is>
          <t>GnG Amazigh</t>
        </is>
      </c>
      <c r="C21" s="12" t="n">
        <v>65</v>
      </c>
    </row>
    <row r="22">
      <c r="A22" s="8" t="inlineStr">
        <is>
          <t>OUKA</t>
        </is>
      </c>
      <c r="B22" s="8" t="inlineStr">
        <is>
          <t>GnG Amazigh</t>
        </is>
      </c>
      <c r="C22" s="8" t="n">
        <v>64</v>
      </c>
    </row>
    <row r="23">
      <c r="A23" s="12" t="inlineStr">
        <is>
          <t>Fizzy</t>
        </is>
      </c>
      <c r="B23" s="12" t="inlineStr">
        <is>
          <t>Eintracht Frankfurt</t>
        </is>
      </c>
      <c r="C23" s="12" t="n">
        <v>63</v>
      </c>
    </row>
    <row r="24">
      <c r="A24" s="8" t="inlineStr">
        <is>
          <t>musashi</t>
        </is>
      </c>
      <c r="B24" s="8" t="inlineStr">
        <is>
          <t>Eintracht Frankfurt</t>
        </is>
      </c>
      <c r="C24" s="8" t="n">
        <v>63</v>
      </c>
    </row>
    <row r="25">
      <c r="A25" s="12" t="inlineStr">
        <is>
          <t>Lime</t>
        </is>
      </c>
      <c r="B25" s="12" t="inlineStr">
        <is>
          <t>Enterprise Esports</t>
        </is>
      </c>
      <c r="C25" s="12" t="n">
        <v>63</v>
      </c>
    </row>
    <row r="26">
      <c r="A26" s="8" t="inlineStr">
        <is>
          <t>MOLSI</t>
        </is>
      </c>
      <c r="B26" s="8" t="inlineStr">
        <is>
          <t>FOKUS</t>
        </is>
      </c>
      <c r="C26" s="8" t="n">
        <v>61</v>
      </c>
    </row>
    <row r="27">
      <c r="A27" s="12" t="inlineStr">
        <is>
          <t>Jesse</t>
        </is>
      </c>
      <c r="B27" s="12" t="inlineStr">
        <is>
          <t>UCAM Esports</t>
        </is>
      </c>
      <c r="C27" s="12" t="n">
        <v>61</v>
      </c>
    </row>
    <row r="28">
      <c r="A28" s="8" t="inlineStr">
        <is>
          <t>Guardy</t>
        </is>
      </c>
      <c r="B28" s="8" t="inlineStr">
        <is>
          <t>Barça eSports</t>
        </is>
      </c>
      <c r="C28" s="8" t="n">
        <v>60</v>
      </c>
    </row>
    <row r="29">
      <c r="A29" s="12" t="inlineStr">
        <is>
          <t>Wanzeru</t>
        </is>
      </c>
      <c r="B29" s="12" t="inlineStr">
        <is>
          <t>Team Liquid Academy</t>
        </is>
      </c>
      <c r="C29" s="12" t="n">
        <v>60</v>
      </c>
    </row>
    <row r="30">
      <c r="A30" s="8" t="inlineStr">
        <is>
          <t>Doma</t>
        </is>
      </c>
      <c r="B30" s="8" t="inlineStr">
        <is>
          <t>Joblife</t>
        </is>
      </c>
      <c r="C30" s="8" t="n">
        <v>59</v>
      </c>
    </row>
    <row r="31">
      <c r="A31" s="12" t="inlineStr">
        <is>
          <t>pAura</t>
        </is>
      </c>
      <c r="B31" s="12" t="inlineStr">
        <is>
          <t>Misa Esports</t>
        </is>
      </c>
      <c r="C31" s="12" t="n">
        <v>58</v>
      </c>
    </row>
    <row r="32">
      <c r="A32" s="8" t="inlineStr">
        <is>
          <t>reazy</t>
        </is>
      </c>
      <c r="B32" s="8" t="inlineStr">
        <is>
          <t>S2G Esports</t>
        </is>
      </c>
      <c r="C32" s="8" t="n">
        <v>56</v>
      </c>
    </row>
    <row r="33">
      <c r="A33" s="12" t="inlineStr">
        <is>
          <t>QutionerX</t>
        </is>
      </c>
      <c r="B33" s="12" t="inlineStr">
        <is>
          <t>Misa Esports</t>
        </is>
      </c>
      <c r="C33" s="12" t="n">
        <v>55</v>
      </c>
    </row>
    <row r="34">
      <c r="A34" s="8" t="inlineStr">
        <is>
          <t>Brave</t>
        </is>
      </c>
      <c r="B34" s="8" t="inlineStr">
        <is>
          <t>Misa Esports</t>
        </is>
      </c>
      <c r="C34" s="8" t="n">
        <v>55</v>
      </c>
    </row>
    <row r="35">
      <c r="A35" s="12" t="inlineStr">
        <is>
          <t>Natank</t>
        </is>
      </c>
      <c r="B35" s="12" t="inlineStr">
        <is>
          <t>Mandatory</t>
        </is>
      </c>
      <c r="C35" s="12" t="n">
        <v>54</v>
      </c>
    </row>
    <row r="36">
      <c r="A36" s="8" t="inlineStr">
        <is>
          <t>batujnax</t>
        </is>
      </c>
      <c r="B36" s="8" t="inlineStr">
        <is>
          <t>S2G Esports</t>
        </is>
      </c>
      <c r="C36" s="8" t="n">
        <v>53</v>
      </c>
    </row>
    <row r="37">
      <c r="A37" s="12" t="inlineStr">
        <is>
          <t>CUNHA</t>
        </is>
      </c>
      <c r="B37" s="12" t="inlineStr">
        <is>
          <t>GnG Amazigh</t>
        </is>
      </c>
      <c r="C37" s="12" t="n">
        <v>52</v>
      </c>
    </row>
    <row r="38">
      <c r="A38" s="8" t="inlineStr">
        <is>
          <t>Sevire</t>
        </is>
      </c>
      <c r="B38" s="8" t="inlineStr">
        <is>
          <t>Mandatory</t>
        </is>
      </c>
      <c r="C38" s="8" t="n">
        <v>52</v>
      </c>
    </row>
    <row r="39">
      <c r="A39" s="12" t="inlineStr">
        <is>
          <t>Stonezy</t>
        </is>
      </c>
      <c r="B39" s="12" t="inlineStr">
        <is>
          <t>Barça eSports</t>
        </is>
      </c>
      <c r="C39" s="12" t="n">
        <v>51</v>
      </c>
    </row>
    <row r="40">
      <c r="A40" s="8" t="inlineStr">
        <is>
          <t>Sh1n</t>
        </is>
      </c>
      <c r="B40" s="8" t="inlineStr">
        <is>
          <t>Mandatory</t>
        </is>
      </c>
      <c r="C40" s="8" t="n">
        <v>49</v>
      </c>
    </row>
    <row r="41">
      <c r="A41" s="12" t="inlineStr">
        <is>
          <t>Kamyk</t>
        </is>
      </c>
      <c r="B41" s="12" t="inlineStr">
        <is>
          <t>Joblife</t>
        </is>
      </c>
      <c r="C41" s="12" t="n">
        <v>48</v>
      </c>
    </row>
    <row r="42">
      <c r="A42" s="8" t="inlineStr">
        <is>
          <t>Fit1nho</t>
        </is>
      </c>
      <c r="B42" s="8" t="inlineStr">
        <is>
          <t>Barça eSports</t>
        </is>
      </c>
      <c r="C42" s="8" t="n">
        <v>48</v>
      </c>
    </row>
    <row r="43">
      <c r="A43" s="12" t="inlineStr">
        <is>
          <t>MAGNUM</t>
        </is>
      </c>
      <c r="B43" s="12" t="inlineStr">
        <is>
          <t>Enterprise Esports</t>
        </is>
      </c>
      <c r="C43" s="12" t="n">
        <v>47</v>
      </c>
    </row>
    <row r="44">
      <c r="A44" s="8" t="inlineStr">
        <is>
          <t>Kajuks</t>
        </is>
      </c>
      <c r="B44" s="8" t="inlineStr">
        <is>
          <t>Barça eSports</t>
        </is>
      </c>
      <c r="C44" s="8" t="n">
        <v>46</v>
      </c>
    </row>
    <row r="45">
      <c r="A45" s="12" t="inlineStr">
        <is>
          <t>Chiwa</t>
        </is>
      </c>
      <c r="B45" s="12" t="inlineStr">
        <is>
          <t>Joblife</t>
        </is>
      </c>
      <c r="C45" s="12" t="n">
        <v>45</v>
      </c>
    </row>
    <row r="46">
      <c r="A46" s="8" t="inlineStr">
        <is>
          <t>MonOkson</t>
        </is>
      </c>
      <c r="B46" s="8" t="inlineStr">
        <is>
          <t>GnG Amazigh</t>
        </is>
      </c>
      <c r="C46" s="8" t="n">
        <v>44</v>
      </c>
    </row>
    <row r="47">
      <c r="A47" s="12" t="inlineStr">
        <is>
          <t>Elite</t>
        </is>
      </c>
      <c r="B47" s="12" t="inlineStr">
        <is>
          <t>Misa Esports</t>
        </is>
      </c>
      <c r="C47" s="12" t="n">
        <v>43</v>
      </c>
    </row>
    <row r="48">
      <c r="A48" s="8" t="inlineStr">
        <is>
          <t>kozzy</t>
        </is>
      </c>
      <c r="B48" s="8" t="inlineStr">
        <is>
          <t>Enterprise Esports</t>
        </is>
      </c>
      <c r="C48" s="8" t="n">
        <v>43</v>
      </c>
    </row>
    <row r="49">
      <c r="A49" s="12" t="inlineStr">
        <is>
          <t>GSR</t>
        </is>
      </c>
      <c r="B49" s="12" t="inlineStr">
        <is>
          <t>Team Liquid Academy</t>
        </is>
      </c>
      <c r="C49" s="12" t="n">
        <v>40</v>
      </c>
    </row>
    <row r="50">
      <c r="A50" s="8" t="inlineStr">
        <is>
          <t>Chaza</t>
        </is>
      </c>
      <c r="B50" s="8" t="inlineStr">
        <is>
          <t>Pixel Lumina</t>
        </is>
      </c>
      <c r="C50" s="8" t="n">
        <v>38</v>
      </c>
    </row>
    <row r="51">
      <c r="A51" s="12" t="inlineStr">
        <is>
          <t>Koji</t>
        </is>
      </c>
      <c r="B51" s="12" t="inlineStr">
        <is>
          <t>Stallions Esports</t>
        </is>
      </c>
      <c r="C51" s="12" t="n">
        <v>37</v>
      </c>
    </row>
    <row r="52">
      <c r="A52" s="8" t="inlineStr">
        <is>
          <t>hezacoil</t>
        </is>
      </c>
      <c r="B52" s="8" t="inlineStr">
        <is>
          <t>S2G Esports</t>
        </is>
      </c>
      <c r="C52" s="8" t="n">
        <v>37</v>
      </c>
    </row>
    <row r="53">
      <c r="A53" s="12" t="inlineStr">
        <is>
          <t>Szimpli</t>
        </is>
      </c>
      <c r="B53" s="12" t="inlineStr">
        <is>
          <t>Pixel Lumina</t>
        </is>
      </c>
      <c r="C53" s="12" t="n">
        <v>37</v>
      </c>
    </row>
    <row r="54">
      <c r="A54" s="8" t="inlineStr">
        <is>
          <t>Raz</t>
        </is>
      </c>
      <c r="B54" s="8" t="inlineStr">
        <is>
          <t>MIR</t>
        </is>
      </c>
      <c r="C54" s="8" t="n">
        <v>37</v>
      </c>
    </row>
    <row r="55">
      <c r="A55" s="12" t="inlineStr">
        <is>
          <t>shinnok</t>
        </is>
      </c>
      <c r="B55" s="12" t="inlineStr">
        <is>
          <t>FOKUS</t>
        </is>
      </c>
      <c r="C55" s="12" t="n">
        <v>34</v>
      </c>
    </row>
    <row r="56">
      <c r="A56" s="8" t="inlineStr">
        <is>
          <t xml:space="preserve">Enzo </t>
        </is>
      </c>
      <c r="B56" s="8" t="inlineStr">
        <is>
          <t>Joblife</t>
        </is>
      </c>
      <c r="C56" s="8" t="n">
        <v>34</v>
      </c>
    </row>
    <row r="57">
      <c r="A57" s="12" t="inlineStr">
        <is>
          <t>GSR</t>
        </is>
      </c>
      <c r="B57" s="12" t="inlineStr">
        <is>
          <t>Team Liquid Academy</t>
        </is>
      </c>
      <c r="C57" s="12" t="n">
        <v>32</v>
      </c>
    </row>
    <row r="58">
      <c r="A58" s="8" t="inlineStr">
        <is>
          <t>burzzy</t>
        </is>
      </c>
      <c r="B58" s="8" t="inlineStr">
        <is>
          <t>Misa Esports</t>
        </is>
      </c>
      <c r="C58" s="8" t="n">
        <v>31</v>
      </c>
    </row>
    <row r="59">
      <c r="A59" s="12" t="inlineStr">
        <is>
          <t>rexxtoned</t>
        </is>
      </c>
      <c r="B59" s="12" t="inlineStr">
        <is>
          <t>Team Liquid Academy</t>
        </is>
      </c>
      <c r="C59" s="12" t="n">
        <v>29</v>
      </c>
    </row>
    <row r="60">
      <c r="A60" s="8" t="inlineStr">
        <is>
          <t>WanZeru</t>
        </is>
      </c>
      <c r="B60" s="8" t="inlineStr">
        <is>
          <t>Team Liquid Academy</t>
        </is>
      </c>
      <c r="C60" s="8" t="n">
        <v>29</v>
      </c>
    </row>
    <row r="61">
      <c r="A61" s="12" t="inlineStr">
        <is>
          <t>Kicks</t>
        </is>
      </c>
      <c r="B61" s="12" t="inlineStr">
        <is>
          <t>Team Liquid Academy</t>
        </is>
      </c>
      <c r="C61" s="12" t="n">
        <v>27</v>
      </c>
    </row>
    <row r="62">
      <c r="A62" s="8" t="inlineStr">
        <is>
          <t>kAdavra</t>
        </is>
      </c>
      <c r="B62" s="8" t="inlineStr">
        <is>
          <t>Mandatory</t>
        </is>
      </c>
      <c r="C62" s="8" t="n">
        <v>27</v>
      </c>
    </row>
    <row r="63">
      <c r="A63" s="12" t="inlineStr">
        <is>
          <t>swagzor</t>
        </is>
      </c>
      <c r="B63" s="12" t="inlineStr">
        <is>
          <t>Enterprise Esports</t>
        </is>
      </c>
      <c r="C63" s="12" t="n">
        <v>27</v>
      </c>
    </row>
    <row r="64">
      <c r="A64" s="8" t="inlineStr">
        <is>
          <t>Proxh</t>
        </is>
      </c>
      <c r="B64" s="8" t="inlineStr">
        <is>
          <t>Enterprise Esports</t>
        </is>
      </c>
      <c r="C64" s="8" t="n">
        <v>26</v>
      </c>
    </row>
    <row r="65">
      <c r="A65" s="12" t="inlineStr">
        <is>
          <t>AL7B</t>
        </is>
      </c>
      <c r="B65" s="12" t="inlineStr">
        <is>
          <t>Stallions Esports</t>
        </is>
      </c>
      <c r="C65" s="12" t="n">
        <v>24</v>
      </c>
    </row>
    <row r="66">
      <c r="A66" s="8" t="inlineStr">
        <is>
          <t>Avvix</t>
        </is>
      </c>
      <c r="B66" s="8" t="inlineStr">
        <is>
          <t>Stallions Esports</t>
        </is>
      </c>
      <c r="C66" s="8" t="n">
        <v>23</v>
      </c>
    </row>
    <row r="67">
      <c r="A67" s="12" t="inlineStr">
        <is>
          <t>iluri</t>
        </is>
      </c>
      <c r="B67" s="12" t="inlineStr">
        <is>
          <t>Enterprise Esports</t>
        </is>
      </c>
      <c r="C67" s="12" t="n">
        <v>21</v>
      </c>
    </row>
    <row r="68">
      <c r="A68" s="8" t="inlineStr">
        <is>
          <t>Bishepss</t>
        </is>
      </c>
      <c r="B68" s="8" t="inlineStr">
        <is>
          <t>MIR</t>
        </is>
      </c>
      <c r="C68" s="8" t="n">
        <v>21</v>
      </c>
    </row>
    <row r="69">
      <c r="A69" s="12" t="inlineStr">
        <is>
          <t>reblyik</t>
        </is>
      </c>
      <c r="B69" s="12" t="inlineStr">
        <is>
          <t>MIR</t>
        </is>
      </c>
      <c r="C69" s="12" t="n">
        <v>20</v>
      </c>
    </row>
    <row r="70">
      <c r="A70" s="8" t="inlineStr">
        <is>
          <t>kya</t>
        </is>
      </c>
      <c r="B70" s="8" t="inlineStr">
        <is>
          <t>Pixel Lumina</t>
        </is>
      </c>
      <c r="C70" s="8" t="n">
        <v>20</v>
      </c>
    </row>
    <row r="71">
      <c r="A71" s="12" t="inlineStr">
        <is>
          <t>elllement</t>
        </is>
      </c>
      <c r="B71" s="12" t="inlineStr">
        <is>
          <t>Pixel Lumina</t>
        </is>
      </c>
      <c r="C71" s="12" t="n">
        <v>19</v>
      </c>
    </row>
    <row r="72">
      <c r="A72" s="8" t="inlineStr">
        <is>
          <t>kospa1n</t>
        </is>
      </c>
      <c r="B72" s="8" t="inlineStr">
        <is>
          <t>MIR</t>
        </is>
      </c>
      <c r="C72" s="8" t="n">
        <v>19</v>
      </c>
    </row>
    <row r="73">
      <c r="A73" s="12" t="inlineStr">
        <is>
          <t>prti</t>
        </is>
      </c>
      <c r="B73" s="12" t="inlineStr">
        <is>
          <t>Team Liquid Academy</t>
        </is>
      </c>
      <c r="C73" s="12" t="n">
        <v>17</v>
      </c>
    </row>
    <row r="74">
      <c r="A74" s="8" t="inlineStr">
        <is>
          <t>Redgar</t>
        </is>
      </c>
      <c r="B74" s="8" t="inlineStr">
        <is>
          <t>MIR</t>
        </is>
      </c>
      <c r="C74" s="8" t="n">
        <v>15</v>
      </c>
    </row>
    <row r="75">
      <c r="A75" s="12" t="inlineStr">
        <is>
          <t>rexxtoned</t>
        </is>
      </c>
      <c r="B75" s="12" t="inlineStr">
        <is>
          <t>Team Liquid Academy</t>
        </is>
      </c>
      <c r="C75" s="12" t="n">
        <v>15</v>
      </c>
    </row>
    <row r="76">
      <c r="A76" s="8" t="inlineStr">
        <is>
          <t>Leare</t>
        </is>
      </c>
      <c r="B76" s="8" t="inlineStr">
        <is>
          <t>Pixel Lumina</t>
        </is>
      </c>
      <c r="C76" s="8" t="n">
        <v>13</v>
      </c>
    </row>
    <row r="77">
      <c r="A77" s="12" t="inlineStr">
        <is>
          <t>MiniBoo</t>
        </is>
      </c>
      <c r="B77" s="12" t="inlineStr">
        <is>
          <t>Team Liquid Academy</t>
        </is>
      </c>
      <c r="C77" s="12" t="n">
        <v>13</v>
      </c>
    </row>
    <row r="78">
      <c r="A78" s="8" t="inlineStr">
        <is>
          <t>nAts</t>
        </is>
      </c>
      <c r="B78" s="8" t="inlineStr">
        <is>
          <t>Team Liquid Academy</t>
        </is>
      </c>
      <c r="C78" s="8" t="n">
        <v>9</v>
      </c>
    </row>
    <row r="79">
      <c r="A79" s="12" t="inlineStr">
        <is>
          <t>purp0</t>
        </is>
      </c>
      <c r="B79" s="12" t="inlineStr">
        <is>
          <t>Team Liquid Academy</t>
        </is>
      </c>
      <c r="C79" s="12" t="n">
        <v>8</v>
      </c>
    </row>
    <row r="80">
      <c r="A80" s="8" t="inlineStr">
        <is>
          <t>br1ckzl</t>
        </is>
      </c>
      <c r="B80" s="8" t="inlineStr">
        <is>
          <t>Stallions Esports</t>
        </is>
      </c>
      <c r="C80" s="8" t="n">
        <v>5</v>
      </c>
    </row>
    <row r="81">
      <c r="A81" s="12" t="inlineStr">
        <is>
          <t>kamo</t>
        </is>
      </c>
      <c r="B81" s="12" t="inlineStr">
        <is>
          <t>Team Liquid Academy</t>
        </is>
      </c>
      <c r="C81" s="12" t="n">
        <v>5</v>
      </c>
    </row>
    <row r="82">
      <c r="A82" s="8" t="inlineStr">
        <is>
          <t>Saud</t>
        </is>
      </c>
      <c r="B82" s="8" t="inlineStr">
        <is>
          <t>Stallions Esports</t>
        </is>
      </c>
      <c r="C82" s="8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33333"/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Ign</t>
        </is>
      </c>
      <c r="B1" s="4" t="inlineStr">
        <is>
          <t>Team</t>
        </is>
      </c>
      <c r="C1" s="4" t="inlineStr">
        <is>
          <t>Clutches</t>
        </is>
      </c>
      <c r="D1" s="4" t="inlineStr">
        <is>
          <t>Clutch Failures</t>
        </is>
      </c>
      <c r="E1" s="4" t="inlineStr">
        <is>
          <t>Scens</t>
        </is>
      </c>
    </row>
    <row r="2">
      <c r="A2" s="8" t="inlineStr">
        <is>
          <t>Kicks</t>
        </is>
      </c>
      <c r="B2" s="8" t="inlineStr">
        <is>
          <t>Team Liquid Academy</t>
        </is>
      </c>
      <c r="C2" s="8" t="n">
        <v>31</v>
      </c>
      <c r="D2" s="8" t="n">
        <v>71</v>
      </c>
      <c r="E2" s="8" t="n">
        <v>102</v>
      </c>
    </row>
    <row r="3">
      <c r="A3" s="12" t="inlineStr">
        <is>
          <t>CUNHA</t>
        </is>
      </c>
      <c r="B3" s="12" t="inlineStr">
        <is>
          <t>GnG Amazigh</t>
        </is>
      </c>
      <c r="C3" s="12" t="n">
        <v>26</v>
      </c>
      <c r="D3" s="12" t="n">
        <v>76</v>
      </c>
      <c r="E3" s="12" t="n">
        <v>102</v>
      </c>
    </row>
    <row r="4">
      <c r="A4" s="8" t="inlineStr">
        <is>
          <t>OLIZERA</t>
        </is>
      </c>
      <c r="B4" s="8" t="inlineStr">
        <is>
          <t>UCAM Esports</t>
        </is>
      </c>
      <c r="C4" s="8" t="n">
        <v>24</v>
      </c>
      <c r="D4" s="8" t="n">
        <v>105</v>
      </c>
      <c r="E4" s="8" t="n">
        <v>129</v>
      </c>
    </row>
    <row r="5">
      <c r="A5" s="12" t="inlineStr">
        <is>
          <t>Famsii</t>
        </is>
      </c>
      <c r="B5" s="12" t="inlineStr">
        <is>
          <t>UCAM Esports</t>
        </is>
      </c>
      <c r="C5" s="12" t="n">
        <v>23</v>
      </c>
      <c r="D5" s="12" t="n">
        <v>66</v>
      </c>
      <c r="E5" s="12" t="n">
        <v>89</v>
      </c>
    </row>
    <row r="6">
      <c r="A6" s="8" t="inlineStr">
        <is>
          <t>Fizzy</t>
        </is>
      </c>
      <c r="B6" s="8" t="inlineStr">
        <is>
          <t>Eintracht Frankfurt</t>
        </is>
      </c>
      <c r="C6" s="8" t="n">
        <v>22</v>
      </c>
      <c r="D6" s="8" t="n">
        <v>96</v>
      </c>
      <c r="E6" s="8" t="n">
        <v>118</v>
      </c>
    </row>
    <row r="7">
      <c r="A7" s="12" t="inlineStr">
        <is>
          <t>Jesse</t>
        </is>
      </c>
      <c r="B7" s="12" t="inlineStr">
        <is>
          <t>UCAM Esports</t>
        </is>
      </c>
      <c r="C7" s="12" t="n">
        <v>21</v>
      </c>
      <c r="D7" s="12" t="n">
        <v>105</v>
      </c>
      <c r="E7" s="12" t="n">
        <v>126</v>
      </c>
    </row>
    <row r="8">
      <c r="A8" s="8" t="inlineStr">
        <is>
          <t>pyrolll</t>
        </is>
      </c>
      <c r="B8" s="8" t="inlineStr">
        <is>
          <t>FOKUS</t>
        </is>
      </c>
      <c r="C8" s="8" t="n">
        <v>20</v>
      </c>
      <c r="D8" s="8" t="n">
        <v>93</v>
      </c>
      <c r="E8" s="8" t="n">
        <v>113</v>
      </c>
    </row>
    <row r="9">
      <c r="A9" s="12" t="inlineStr">
        <is>
          <t>hezacoil</t>
        </is>
      </c>
      <c r="B9" s="12" t="inlineStr">
        <is>
          <t>S2G Esports</t>
        </is>
      </c>
      <c r="C9" s="12" t="n">
        <v>20</v>
      </c>
      <c r="D9" s="12" t="n">
        <v>95</v>
      </c>
      <c r="E9" s="12" t="n">
        <v>115</v>
      </c>
    </row>
    <row r="10">
      <c r="A10" s="8" t="inlineStr">
        <is>
          <t>Avvix</t>
        </is>
      </c>
      <c r="B10" s="8" t="inlineStr">
        <is>
          <t>Stallions Esports</t>
        </is>
      </c>
      <c r="C10" s="8" t="n">
        <v>20</v>
      </c>
      <c r="D10" s="8" t="n">
        <v>87</v>
      </c>
      <c r="E10" s="8" t="n">
        <v>107</v>
      </c>
    </row>
    <row r="11">
      <c r="A11" s="12" t="inlineStr">
        <is>
          <t>Fit1nho</t>
        </is>
      </c>
      <c r="B11" s="12" t="inlineStr">
        <is>
          <t>Barça eSports</t>
        </is>
      </c>
      <c r="C11" s="12" t="n">
        <v>18</v>
      </c>
      <c r="D11" s="12" t="n">
        <v>61</v>
      </c>
      <c r="E11" s="12" t="n">
        <v>79</v>
      </c>
    </row>
    <row r="12">
      <c r="A12" s="8" t="inlineStr">
        <is>
          <t>Elite</t>
        </is>
      </c>
      <c r="B12" s="8" t="inlineStr">
        <is>
          <t>Misa Esports</t>
        </is>
      </c>
      <c r="C12" s="8" t="n">
        <v>18</v>
      </c>
      <c r="D12" s="8" t="n">
        <v>52</v>
      </c>
      <c r="E12" s="8" t="n">
        <v>70</v>
      </c>
    </row>
    <row r="13">
      <c r="A13" s="12" t="inlineStr">
        <is>
          <t>MONSTEERR</t>
        </is>
      </c>
      <c r="B13" s="12" t="inlineStr">
        <is>
          <t>Eintracht Frankfurt</t>
        </is>
      </c>
      <c r="C13" s="12" t="n">
        <v>17</v>
      </c>
      <c r="D13" s="12" t="n">
        <v>102</v>
      </c>
      <c r="E13" s="12" t="n">
        <v>119</v>
      </c>
    </row>
    <row r="14">
      <c r="A14" s="8" t="inlineStr">
        <is>
          <t>shinnok</t>
        </is>
      </c>
      <c r="B14" s="8" t="inlineStr">
        <is>
          <t>FOKUS</t>
        </is>
      </c>
      <c r="C14" s="8" t="n">
        <v>17</v>
      </c>
      <c r="D14" s="8" t="n">
        <v>120</v>
      </c>
      <c r="E14" s="8" t="n">
        <v>137</v>
      </c>
    </row>
    <row r="15">
      <c r="A15" s="12" t="inlineStr">
        <is>
          <t>Chiwa</t>
        </is>
      </c>
      <c r="B15" s="12" t="inlineStr">
        <is>
          <t>Joblife</t>
        </is>
      </c>
      <c r="C15" s="12" t="n">
        <v>17</v>
      </c>
      <c r="D15" s="12" t="n">
        <v>43</v>
      </c>
      <c r="E15" s="12" t="n">
        <v>60</v>
      </c>
    </row>
    <row r="16">
      <c r="A16" s="8" t="inlineStr">
        <is>
          <t>Stonezy</t>
        </is>
      </c>
      <c r="B16" s="8" t="inlineStr">
        <is>
          <t>Barça eSports</t>
        </is>
      </c>
      <c r="C16" s="8" t="n">
        <v>17</v>
      </c>
      <c r="D16" s="8" t="n">
        <v>64</v>
      </c>
      <c r="E16" s="8" t="n">
        <v>81</v>
      </c>
    </row>
    <row r="17">
      <c r="A17" s="12" t="inlineStr">
        <is>
          <t>BULD</t>
        </is>
      </c>
      <c r="B17" s="12" t="inlineStr">
        <is>
          <t>UCAM Esports</t>
        </is>
      </c>
      <c r="C17" s="12" t="n">
        <v>16</v>
      </c>
      <c r="D17" s="12" t="n">
        <v>84</v>
      </c>
      <c r="E17" s="12" t="n">
        <v>100</v>
      </c>
    </row>
    <row r="18">
      <c r="A18" s="8" t="inlineStr">
        <is>
          <t>musashi</t>
        </is>
      </c>
      <c r="B18" s="8" t="inlineStr">
        <is>
          <t>Eintracht Frankfurt</t>
        </is>
      </c>
      <c r="C18" s="8" t="n">
        <v>16</v>
      </c>
      <c r="D18" s="8" t="n">
        <v>96</v>
      </c>
      <c r="E18" s="8" t="n">
        <v>112</v>
      </c>
    </row>
    <row r="19">
      <c r="A19" s="12" t="inlineStr">
        <is>
          <t>MOLSI</t>
        </is>
      </c>
      <c r="B19" s="12" t="inlineStr">
        <is>
          <t>FOKUS</t>
        </is>
      </c>
      <c r="C19" s="12" t="n">
        <v>15</v>
      </c>
      <c r="D19" s="12" t="n">
        <v>94</v>
      </c>
      <c r="E19" s="12" t="n">
        <v>109</v>
      </c>
    </row>
    <row r="20">
      <c r="A20" s="8" t="inlineStr">
        <is>
          <t>Deadink</t>
        </is>
      </c>
      <c r="B20" s="8" t="inlineStr">
        <is>
          <t>S2G Esports</t>
        </is>
      </c>
      <c r="C20" s="8" t="n">
        <v>15</v>
      </c>
      <c r="D20" s="8" t="n">
        <v>48</v>
      </c>
      <c r="E20" s="8" t="n">
        <v>63</v>
      </c>
    </row>
    <row r="21">
      <c r="A21" s="12" t="inlineStr">
        <is>
          <t>burzzy</t>
        </is>
      </c>
      <c r="B21" s="12" t="inlineStr">
        <is>
          <t>Misa Esports</t>
        </is>
      </c>
      <c r="C21" s="12" t="n">
        <v>15</v>
      </c>
      <c r="D21" s="12" t="n">
        <v>26</v>
      </c>
      <c r="E21" s="12" t="n">
        <v>41</v>
      </c>
    </row>
    <row r="22">
      <c r="A22" s="8" t="inlineStr">
        <is>
          <t>Guardy</t>
        </is>
      </c>
      <c r="B22" s="8" t="inlineStr">
        <is>
          <t>Barça eSports</t>
        </is>
      </c>
      <c r="C22" s="8" t="n">
        <v>14</v>
      </c>
      <c r="D22" s="8" t="n">
        <v>50</v>
      </c>
      <c r="E22" s="8" t="n">
        <v>64</v>
      </c>
    </row>
    <row r="23">
      <c r="A23" s="12" t="inlineStr">
        <is>
          <t>Sh1n</t>
        </is>
      </c>
      <c r="B23" s="12" t="inlineStr">
        <is>
          <t>Mandatory</t>
        </is>
      </c>
      <c r="C23" s="12" t="n">
        <v>14</v>
      </c>
      <c r="D23" s="12" t="n">
        <v>64</v>
      </c>
      <c r="E23" s="12" t="n">
        <v>78</v>
      </c>
    </row>
    <row r="24">
      <c r="A24" s="8" t="inlineStr">
        <is>
          <t>Natank</t>
        </is>
      </c>
      <c r="B24" s="8" t="inlineStr">
        <is>
          <t>Mandatory</t>
        </is>
      </c>
      <c r="C24" s="8" t="n">
        <v>14</v>
      </c>
      <c r="D24" s="8" t="n">
        <v>48</v>
      </c>
      <c r="E24" s="8" t="n">
        <v>62</v>
      </c>
    </row>
    <row r="25">
      <c r="A25" s="12" t="inlineStr">
        <is>
          <t>globeX</t>
        </is>
      </c>
      <c r="B25" s="12" t="inlineStr">
        <is>
          <t>Barça eSports</t>
        </is>
      </c>
      <c r="C25" s="12" t="n">
        <v>13</v>
      </c>
      <c r="D25" s="12" t="n">
        <v>36</v>
      </c>
      <c r="E25" s="12" t="n">
        <v>49</v>
      </c>
    </row>
    <row r="26">
      <c r="A26" s="8" t="inlineStr">
        <is>
          <t>MonOkson</t>
        </is>
      </c>
      <c r="B26" s="8" t="inlineStr">
        <is>
          <t>GnG Amazigh</t>
        </is>
      </c>
      <c r="C26" s="8" t="n">
        <v>13</v>
      </c>
      <c r="D26" s="8" t="n">
        <v>113</v>
      </c>
      <c r="E26" s="8" t="n">
        <v>126</v>
      </c>
    </row>
    <row r="27">
      <c r="A27" s="12" t="inlineStr">
        <is>
          <t>batujnax</t>
        </is>
      </c>
      <c r="B27" s="12" t="inlineStr">
        <is>
          <t>S2G Esports</t>
        </is>
      </c>
      <c r="C27" s="12" t="n">
        <v>13</v>
      </c>
      <c r="D27" s="12" t="n">
        <v>65</v>
      </c>
      <c r="E27" s="12" t="n">
        <v>78</v>
      </c>
    </row>
    <row r="28">
      <c r="A28" s="8" t="inlineStr">
        <is>
          <t>pa1ze</t>
        </is>
      </c>
      <c r="B28" s="8" t="inlineStr">
        <is>
          <t>FOKUS</t>
        </is>
      </c>
      <c r="C28" s="8" t="n">
        <v>12</v>
      </c>
      <c r="D28" s="8" t="n">
        <v>34</v>
      </c>
      <c r="E28" s="8" t="n">
        <v>46</v>
      </c>
    </row>
    <row r="29">
      <c r="A29" s="12" t="inlineStr">
        <is>
          <t>B1SK</t>
        </is>
      </c>
      <c r="B29" s="12" t="inlineStr">
        <is>
          <t>UCAM Esports</t>
        </is>
      </c>
      <c r="C29" s="12" t="n">
        <v>12</v>
      </c>
      <c r="D29" s="12" t="n">
        <v>74</v>
      </c>
      <c r="E29" s="12" t="n">
        <v>86</v>
      </c>
    </row>
    <row r="30">
      <c r="A30" s="8" t="inlineStr">
        <is>
          <t>Sevire</t>
        </is>
      </c>
      <c r="B30" s="8" t="inlineStr">
        <is>
          <t>Mandatory</t>
        </is>
      </c>
      <c r="C30" s="8" t="n">
        <v>12</v>
      </c>
      <c r="D30" s="8" t="n">
        <v>48</v>
      </c>
      <c r="E30" s="8" t="n">
        <v>60</v>
      </c>
    </row>
    <row r="31">
      <c r="A31" s="12" t="inlineStr">
        <is>
          <t>reazy</t>
        </is>
      </c>
      <c r="B31" s="12" t="inlineStr">
        <is>
          <t>S2G Esports</t>
        </is>
      </c>
      <c r="C31" s="12" t="n">
        <v>12</v>
      </c>
      <c r="D31" s="12" t="n">
        <v>55</v>
      </c>
      <c r="E31" s="12" t="n">
        <v>67</v>
      </c>
    </row>
    <row r="32">
      <c r="A32" s="8" t="inlineStr">
        <is>
          <t>Serial</t>
        </is>
      </c>
      <c r="B32" s="8" t="inlineStr">
        <is>
          <t>FOKUS</t>
        </is>
      </c>
      <c r="C32" s="8" t="n">
        <v>11</v>
      </c>
      <c r="D32" s="8" t="n">
        <v>67</v>
      </c>
      <c r="E32" s="8" t="n">
        <v>78</v>
      </c>
    </row>
    <row r="33">
      <c r="A33" s="12" t="inlineStr">
        <is>
          <t>azury</t>
        </is>
      </c>
      <c r="B33" s="12" t="inlineStr">
        <is>
          <t>Eintracht Frankfurt</t>
        </is>
      </c>
      <c r="C33" s="12" t="n">
        <v>11</v>
      </c>
      <c r="D33" s="12" t="n">
        <v>58</v>
      </c>
      <c r="E33" s="12" t="n">
        <v>69</v>
      </c>
    </row>
    <row r="34">
      <c r="A34" s="8" t="inlineStr">
        <is>
          <t>LOOP</t>
        </is>
      </c>
      <c r="B34" s="8" t="inlineStr">
        <is>
          <t>GnG Amazigh</t>
        </is>
      </c>
      <c r="C34" s="8" t="n">
        <v>11</v>
      </c>
      <c r="D34" s="8" t="n">
        <v>74</v>
      </c>
      <c r="E34" s="8" t="n">
        <v>85</v>
      </c>
    </row>
    <row r="35">
      <c r="A35" s="12" t="inlineStr">
        <is>
          <t>Koji</t>
        </is>
      </c>
      <c r="B35" s="12" t="inlineStr">
        <is>
          <t>Stallions Esports</t>
        </is>
      </c>
      <c r="C35" s="12" t="n">
        <v>11</v>
      </c>
      <c r="D35" s="12" t="n">
        <v>52</v>
      </c>
      <c r="E35" s="12" t="n">
        <v>63</v>
      </c>
    </row>
    <row r="36">
      <c r="A36" s="8" t="inlineStr">
        <is>
          <t xml:space="preserve">Enzo </t>
        </is>
      </c>
      <c r="B36" s="8" t="inlineStr">
        <is>
          <t>Joblife</t>
        </is>
      </c>
      <c r="C36" s="8" t="n">
        <v>11</v>
      </c>
      <c r="D36" s="8" t="n">
        <v>68</v>
      </c>
      <c r="E36" s="8" t="n">
        <v>79</v>
      </c>
    </row>
    <row r="37">
      <c r="A37" s="12" t="inlineStr">
        <is>
          <t>Wanzeru</t>
        </is>
      </c>
      <c r="B37" s="12" t="inlineStr">
        <is>
          <t>Team Liquid Academy</t>
        </is>
      </c>
      <c r="C37" s="12" t="n">
        <v>11</v>
      </c>
      <c r="D37" s="12" t="n">
        <v>23</v>
      </c>
      <c r="E37" s="12" t="n">
        <v>34</v>
      </c>
    </row>
    <row r="38">
      <c r="A38" s="8" t="inlineStr">
        <is>
          <t>Doma</t>
        </is>
      </c>
      <c r="B38" s="8" t="inlineStr">
        <is>
          <t>Joblife</t>
        </is>
      </c>
      <c r="C38" s="8" t="n">
        <v>10</v>
      </c>
      <c r="D38" s="8" t="n">
        <v>62</v>
      </c>
      <c r="E38" s="8" t="n">
        <v>72</v>
      </c>
    </row>
    <row r="39">
      <c r="A39" s="12" t="inlineStr">
        <is>
          <t>MAGNUM</t>
        </is>
      </c>
      <c r="B39" s="12" t="inlineStr">
        <is>
          <t>Enterprise Esports</t>
        </is>
      </c>
      <c r="C39" s="12" t="n">
        <v>10</v>
      </c>
      <c r="D39" s="12" t="n">
        <v>38</v>
      </c>
      <c r="E39" s="12" t="n">
        <v>48</v>
      </c>
    </row>
    <row r="40">
      <c r="A40" s="8" t="inlineStr">
        <is>
          <t>kAdavra</t>
        </is>
      </c>
      <c r="B40" s="8" t="inlineStr">
        <is>
          <t>Mandatory</t>
        </is>
      </c>
      <c r="C40" s="8" t="n">
        <v>10</v>
      </c>
      <c r="D40" s="8" t="n">
        <v>55</v>
      </c>
      <c r="E40" s="8" t="n">
        <v>65</v>
      </c>
    </row>
    <row r="41">
      <c r="A41" s="12" t="inlineStr">
        <is>
          <t>Proxh</t>
        </is>
      </c>
      <c r="B41" s="12" t="inlineStr">
        <is>
          <t>Enterprise Esports</t>
        </is>
      </c>
      <c r="C41" s="12" t="n">
        <v>10</v>
      </c>
      <c r="D41" s="12" t="n">
        <v>45</v>
      </c>
      <c r="E41" s="12" t="n">
        <v>55</v>
      </c>
    </row>
    <row r="42">
      <c r="A42" s="8" t="inlineStr">
        <is>
          <t>GSR</t>
        </is>
      </c>
      <c r="B42" s="8" t="inlineStr">
        <is>
          <t>Team Liquid Academy</t>
        </is>
      </c>
      <c r="C42" s="8" t="n">
        <v>10</v>
      </c>
      <c r="D42" s="8" t="n">
        <v>29</v>
      </c>
      <c r="E42" s="8" t="n">
        <v>39</v>
      </c>
    </row>
    <row r="43">
      <c r="A43" s="12" t="inlineStr">
        <is>
          <t>Kajuks</t>
        </is>
      </c>
      <c r="B43" s="12" t="inlineStr">
        <is>
          <t>Barça eSports</t>
        </is>
      </c>
      <c r="C43" s="12" t="n">
        <v>10</v>
      </c>
      <c r="D43" s="12" t="n">
        <v>53</v>
      </c>
      <c r="E43" s="12" t="n">
        <v>63</v>
      </c>
    </row>
    <row r="44">
      <c r="A44" s="8" t="inlineStr">
        <is>
          <t>Runner</t>
        </is>
      </c>
      <c r="B44" s="8" t="inlineStr">
        <is>
          <t>Joblife</t>
        </is>
      </c>
      <c r="C44" s="8" t="n">
        <v>9</v>
      </c>
      <c r="D44" s="8" t="n">
        <v>33</v>
      </c>
      <c r="E44" s="8" t="n">
        <v>42</v>
      </c>
    </row>
    <row r="45">
      <c r="A45" s="12" t="inlineStr">
        <is>
          <t>AL7B</t>
        </is>
      </c>
      <c r="B45" s="12" t="inlineStr">
        <is>
          <t>Stallions Esports</t>
        </is>
      </c>
      <c r="C45" s="12" t="n">
        <v>9</v>
      </c>
      <c r="D45" s="12" t="n">
        <v>58</v>
      </c>
      <c r="E45" s="12" t="n">
        <v>67</v>
      </c>
    </row>
    <row r="46">
      <c r="A46" s="8" t="inlineStr">
        <is>
          <t>pAura</t>
        </is>
      </c>
      <c r="B46" s="8" t="inlineStr">
        <is>
          <t>Misa Esports</t>
        </is>
      </c>
      <c r="C46" s="8" t="n">
        <v>9</v>
      </c>
      <c r="D46" s="8" t="n">
        <v>52</v>
      </c>
      <c r="E46" s="8" t="n">
        <v>61</v>
      </c>
    </row>
    <row r="47">
      <c r="A47" s="12" t="inlineStr">
        <is>
          <t>Kamyk</t>
        </is>
      </c>
      <c r="B47" s="12" t="inlineStr">
        <is>
          <t>Joblife</t>
        </is>
      </c>
      <c r="C47" s="12" t="n">
        <v>8</v>
      </c>
      <c r="D47" s="12" t="n">
        <v>68</v>
      </c>
      <c r="E47" s="12" t="n">
        <v>76</v>
      </c>
    </row>
    <row r="48">
      <c r="A48" s="8" t="inlineStr">
        <is>
          <t>rexxtoned</t>
        </is>
      </c>
      <c r="B48" s="8" t="inlineStr">
        <is>
          <t>Team Liquid Academy</t>
        </is>
      </c>
      <c r="C48" s="8" t="n">
        <v>8</v>
      </c>
      <c r="D48" s="8" t="n">
        <v>42</v>
      </c>
      <c r="E48" s="8" t="n">
        <v>50</v>
      </c>
    </row>
    <row r="49">
      <c r="A49" s="12" t="inlineStr">
        <is>
          <t>iluri</t>
        </is>
      </c>
      <c r="B49" s="12" t="inlineStr">
        <is>
          <t>Enterprise Esports</t>
        </is>
      </c>
      <c r="C49" s="12" t="n">
        <v>7</v>
      </c>
      <c r="D49" s="12" t="n">
        <v>59</v>
      </c>
      <c r="E49" s="12" t="n">
        <v>66</v>
      </c>
    </row>
    <row r="50">
      <c r="A50" s="8" t="inlineStr">
        <is>
          <t>QutionerX</t>
        </is>
      </c>
      <c r="B50" s="8" t="inlineStr">
        <is>
          <t>Misa Esports</t>
        </is>
      </c>
      <c r="C50" s="8" t="n">
        <v>6</v>
      </c>
      <c r="D50" s="8" t="n">
        <v>43</v>
      </c>
      <c r="E50" s="8" t="n">
        <v>49</v>
      </c>
    </row>
    <row r="51">
      <c r="A51" s="12" t="inlineStr">
        <is>
          <t>Brave</t>
        </is>
      </c>
      <c r="B51" s="12" t="inlineStr">
        <is>
          <t>Misa Esports</t>
        </is>
      </c>
      <c r="C51" s="12" t="n">
        <v>6</v>
      </c>
      <c r="D51" s="12" t="n">
        <v>35</v>
      </c>
      <c r="E51" s="12" t="n">
        <v>41</v>
      </c>
    </row>
    <row r="52">
      <c r="A52" s="8" t="inlineStr">
        <is>
          <t>Tenkai</t>
        </is>
      </c>
      <c r="B52" s="8" t="inlineStr">
        <is>
          <t>GnG Amazigh</t>
        </is>
      </c>
      <c r="C52" s="8" t="n">
        <v>6</v>
      </c>
      <c r="D52" s="8" t="n">
        <v>28</v>
      </c>
      <c r="E52" s="8" t="n">
        <v>34</v>
      </c>
    </row>
    <row r="53">
      <c r="A53" s="12" t="inlineStr">
        <is>
          <t>Leare</t>
        </is>
      </c>
      <c r="B53" s="12" t="inlineStr">
        <is>
          <t>Pixel Lumina</t>
        </is>
      </c>
      <c r="C53" s="12" t="n">
        <v>6</v>
      </c>
      <c r="D53" s="12" t="n">
        <v>27</v>
      </c>
      <c r="E53" s="12" t="n">
        <v>33</v>
      </c>
    </row>
    <row r="54">
      <c r="A54" s="8" t="inlineStr">
        <is>
          <t>elllement</t>
        </is>
      </c>
      <c r="B54" s="8" t="inlineStr">
        <is>
          <t>Pixel Lumina</t>
        </is>
      </c>
      <c r="C54" s="8" t="n">
        <v>6</v>
      </c>
      <c r="D54" s="8" t="n">
        <v>42</v>
      </c>
      <c r="E54" s="8" t="n">
        <v>48</v>
      </c>
    </row>
    <row r="55">
      <c r="A55" s="12" t="inlineStr">
        <is>
          <t>Jamelinho</t>
        </is>
      </c>
      <c r="B55" s="12" t="inlineStr">
        <is>
          <t>Eintracht Frankfurt</t>
        </is>
      </c>
      <c r="C55" s="12" t="n">
        <v>5</v>
      </c>
      <c r="D55" s="12" t="n">
        <v>35</v>
      </c>
      <c r="E55" s="12" t="n">
        <v>40</v>
      </c>
    </row>
    <row r="56">
      <c r="A56" s="8" t="inlineStr">
        <is>
          <t>Susano</t>
        </is>
      </c>
      <c r="B56" s="8" t="inlineStr">
        <is>
          <t>Stallions Esports</t>
        </is>
      </c>
      <c r="C56" s="8" t="n">
        <v>5</v>
      </c>
      <c r="D56" s="8" t="n">
        <v>26</v>
      </c>
      <c r="E56" s="8" t="n">
        <v>31</v>
      </c>
    </row>
    <row r="57">
      <c r="A57" s="12" t="inlineStr">
        <is>
          <t>Lime</t>
        </is>
      </c>
      <c r="B57" s="12" t="inlineStr">
        <is>
          <t>Enterprise Esports</t>
        </is>
      </c>
      <c r="C57" s="12" t="n">
        <v>5</v>
      </c>
      <c r="D57" s="12" t="n">
        <v>33</v>
      </c>
      <c r="E57" s="12" t="n">
        <v>38</v>
      </c>
    </row>
    <row r="58">
      <c r="A58" s="8" t="inlineStr">
        <is>
          <t>Redgar</t>
        </is>
      </c>
      <c r="B58" s="8" t="inlineStr">
        <is>
          <t>MIR</t>
        </is>
      </c>
      <c r="C58" s="8" t="n">
        <v>5</v>
      </c>
      <c r="D58" s="8" t="n">
        <v>30</v>
      </c>
      <c r="E58" s="8" t="n">
        <v>35</v>
      </c>
    </row>
    <row r="59">
      <c r="A59" s="12" t="inlineStr">
        <is>
          <t>prti</t>
        </is>
      </c>
      <c r="B59" s="12" t="inlineStr">
        <is>
          <t>Team Liquid Academy</t>
        </is>
      </c>
      <c r="C59" s="12" t="n">
        <v>5</v>
      </c>
      <c r="D59" s="12" t="n">
        <v>14</v>
      </c>
      <c r="E59" s="12" t="n">
        <v>19</v>
      </c>
    </row>
    <row r="60">
      <c r="A60" s="8" t="inlineStr">
        <is>
          <t>Szimpli</t>
        </is>
      </c>
      <c r="B60" s="8" t="inlineStr">
        <is>
          <t>Pixel Lumina</t>
        </is>
      </c>
      <c r="C60" s="8" t="n">
        <v>4</v>
      </c>
      <c r="D60" s="8" t="n">
        <v>10</v>
      </c>
      <c r="E60" s="8" t="n">
        <v>14</v>
      </c>
    </row>
    <row r="61">
      <c r="A61" s="12" t="inlineStr">
        <is>
          <t>reblyik</t>
        </is>
      </c>
      <c r="B61" s="12" t="inlineStr">
        <is>
          <t>MIR</t>
        </is>
      </c>
      <c r="C61" s="12" t="n">
        <v>4</v>
      </c>
      <c r="D61" s="12" t="n">
        <v>27</v>
      </c>
      <c r="E61" s="12" t="n">
        <v>31</v>
      </c>
    </row>
    <row r="62">
      <c r="A62" s="8" t="inlineStr">
        <is>
          <t>swagzor</t>
        </is>
      </c>
      <c r="B62" s="8" t="inlineStr">
        <is>
          <t>Enterprise Esports</t>
        </is>
      </c>
      <c r="C62" s="8" t="n">
        <v>4</v>
      </c>
      <c r="D62" s="8" t="n">
        <v>5</v>
      </c>
      <c r="E62" s="8" t="n">
        <v>9</v>
      </c>
    </row>
    <row r="63">
      <c r="A63" s="12" t="inlineStr">
        <is>
          <t>Bishepss</t>
        </is>
      </c>
      <c r="B63" s="12" t="inlineStr">
        <is>
          <t>MIR</t>
        </is>
      </c>
      <c r="C63" s="12" t="n">
        <v>4</v>
      </c>
      <c r="D63" s="12" t="n">
        <v>22</v>
      </c>
      <c r="E63" s="12" t="n">
        <v>26</v>
      </c>
    </row>
    <row r="64">
      <c r="A64" s="8" t="inlineStr">
        <is>
          <t>Kachoww</t>
        </is>
      </c>
      <c r="B64" s="8" t="inlineStr">
        <is>
          <t>S2G Esports</t>
        </is>
      </c>
      <c r="C64" s="8" t="n">
        <v>3</v>
      </c>
      <c r="D64" s="8" t="n">
        <v>45</v>
      </c>
      <c r="E64" s="8" t="n">
        <v>48</v>
      </c>
    </row>
    <row r="65">
      <c r="A65" s="12" t="inlineStr">
        <is>
          <t>OUKA</t>
        </is>
      </c>
      <c r="B65" s="12" t="inlineStr">
        <is>
          <t>GnG Amazigh</t>
        </is>
      </c>
      <c r="C65" s="12" t="n">
        <v>3</v>
      </c>
      <c r="D65" s="12" t="n">
        <v>20</v>
      </c>
      <c r="E65" s="12" t="n">
        <v>23</v>
      </c>
    </row>
    <row r="66">
      <c r="A66" s="8" t="inlineStr">
        <is>
          <t>GSR</t>
        </is>
      </c>
      <c r="B66" s="8" t="inlineStr">
        <is>
          <t>Team Liquid Academy</t>
        </is>
      </c>
      <c r="C66" s="8" t="n">
        <v>3</v>
      </c>
      <c r="D66" s="8" t="n">
        <v>8</v>
      </c>
      <c r="E66" s="8" t="n">
        <v>11</v>
      </c>
    </row>
    <row r="67">
      <c r="A67" s="12" t="inlineStr">
        <is>
          <t>Chaza</t>
        </is>
      </c>
      <c r="B67" s="12" t="inlineStr">
        <is>
          <t>Pixel Lumina</t>
        </is>
      </c>
      <c r="C67" s="12" t="n">
        <v>3</v>
      </c>
      <c r="D67" s="12" t="n">
        <v>19</v>
      </c>
      <c r="E67" s="12" t="n">
        <v>22</v>
      </c>
    </row>
    <row r="68">
      <c r="A68" s="8" t="inlineStr">
        <is>
          <t>kya</t>
        </is>
      </c>
      <c r="B68" s="8" t="inlineStr">
        <is>
          <t>Pixel Lumina</t>
        </is>
      </c>
      <c r="C68" s="8" t="n">
        <v>3</v>
      </c>
      <c r="D68" s="8" t="n">
        <v>30</v>
      </c>
      <c r="E68" s="8" t="n">
        <v>33</v>
      </c>
    </row>
    <row r="69">
      <c r="A69" s="12" t="inlineStr">
        <is>
          <t>rexxtoned</t>
        </is>
      </c>
      <c r="B69" s="12" t="inlineStr">
        <is>
          <t>Team Liquid Academy</t>
        </is>
      </c>
      <c r="C69" s="12" t="n">
        <v>3</v>
      </c>
      <c r="D69" s="12" t="n">
        <v>30</v>
      </c>
      <c r="E69" s="12" t="n">
        <v>33</v>
      </c>
    </row>
    <row r="70">
      <c r="A70" s="8" t="inlineStr">
        <is>
          <t>Takaas</t>
        </is>
      </c>
      <c r="B70" s="8" t="inlineStr">
        <is>
          <t>Mandatory</t>
        </is>
      </c>
      <c r="C70" s="8" t="n">
        <v>2</v>
      </c>
      <c r="D70" s="8" t="n">
        <v>26</v>
      </c>
      <c r="E70" s="8" t="n">
        <v>28</v>
      </c>
    </row>
    <row r="71">
      <c r="A71" s="12" t="inlineStr">
        <is>
          <t>Akai</t>
        </is>
      </c>
      <c r="B71" s="12" t="inlineStr">
        <is>
          <t>Stallions Esports</t>
        </is>
      </c>
      <c r="C71" s="12" t="n">
        <v>2</v>
      </c>
      <c r="D71" s="12" t="n">
        <v>33</v>
      </c>
      <c r="E71" s="12" t="n">
        <v>35</v>
      </c>
    </row>
    <row r="72">
      <c r="A72" s="8" t="inlineStr">
        <is>
          <t>Snop</t>
        </is>
      </c>
      <c r="B72" s="8" t="inlineStr">
        <is>
          <t>GnG Amazigh</t>
        </is>
      </c>
      <c r="C72" s="8" t="n">
        <v>2</v>
      </c>
      <c r="D72" s="8" t="n">
        <v>10</v>
      </c>
      <c r="E72" s="8" t="n">
        <v>12</v>
      </c>
    </row>
    <row r="73">
      <c r="A73" s="12" t="inlineStr">
        <is>
          <t>kozzy</t>
        </is>
      </c>
      <c r="B73" s="12" t="inlineStr">
        <is>
          <t>Enterprise Esports</t>
        </is>
      </c>
      <c r="C73" s="12" t="n">
        <v>1</v>
      </c>
      <c r="D73" s="12" t="n">
        <v>24</v>
      </c>
      <c r="E73" s="12" t="n">
        <v>25</v>
      </c>
    </row>
    <row r="74">
      <c r="A74" s="8" t="inlineStr">
        <is>
          <t>kospa1n</t>
        </is>
      </c>
      <c r="B74" s="8" t="inlineStr">
        <is>
          <t>MIR</t>
        </is>
      </c>
      <c r="C74" s="8" t="n">
        <v>1</v>
      </c>
      <c r="D74" s="8" t="n">
        <v>12</v>
      </c>
      <c r="E74" s="8" t="n">
        <v>13</v>
      </c>
    </row>
    <row r="75">
      <c r="A75" s="12" t="inlineStr">
        <is>
          <t>WanZeru</t>
        </is>
      </c>
      <c r="B75" s="12" t="inlineStr">
        <is>
          <t>Team Liquid Academy</t>
        </is>
      </c>
      <c r="C75" s="12" t="n">
        <v>1</v>
      </c>
      <c r="D75" s="12" t="n">
        <v>9</v>
      </c>
      <c r="E75" s="12" t="n">
        <v>10</v>
      </c>
    </row>
    <row r="76">
      <c r="A76" s="8" t="inlineStr">
        <is>
          <t>br1ckzl</t>
        </is>
      </c>
      <c r="B76" s="8" t="inlineStr">
        <is>
          <t>Stallions Esports</t>
        </is>
      </c>
      <c r="C76" s="8" t="n">
        <v>1</v>
      </c>
      <c r="D76" s="8" t="n">
        <v>5</v>
      </c>
      <c r="E76" s="8" t="n">
        <v>6</v>
      </c>
    </row>
    <row r="77">
      <c r="A77" s="12" t="inlineStr">
        <is>
          <t>Raz</t>
        </is>
      </c>
      <c r="B77" s="12" t="inlineStr">
        <is>
          <t>MIR</t>
        </is>
      </c>
      <c r="C77" s="12" t="n">
        <v>0</v>
      </c>
      <c r="D77" s="12" t="n">
        <v>16</v>
      </c>
      <c r="E77" s="12" t="n">
        <v>16</v>
      </c>
    </row>
    <row r="78">
      <c r="A78" s="8" t="inlineStr">
        <is>
          <t>kamo</t>
        </is>
      </c>
      <c r="B78" s="8" t="inlineStr">
        <is>
          <t>Team Liquid Academy</t>
        </is>
      </c>
      <c r="C78" s="8" t="n">
        <v>0</v>
      </c>
      <c r="D78" s="8" t="n">
        <v>5</v>
      </c>
      <c r="E78" s="8" t="n">
        <v>5</v>
      </c>
    </row>
    <row r="79">
      <c r="A79" s="12" t="inlineStr">
        <is>
          <t>nAts</t>
        </is>
      </c>
      <c r="B79" s="12" t="inlineStr">
        <is>
          <t>Team Liquid Academy</t>
        </is>
      </c>
      <c r="C79" s="12" t="n">
        <v>0</v>
      </c>
      <c r="D79" s="12" t="n">
        <v>13</v>
      </c>
      <c r="E79" s="12" t="n">
        <v>13</v>
      </c>
    </row>
    <row r="80">
      <c r="A80" s="8" t="inlineStr">
        <is>
          <t>MiniBoo</t>
        </is>
      </c>
      <c r="B80" s="8" t="inlineStr">
        <is>
          <t>Team Liquid Academy</t>
        </is>
      </c>
      <c r="C80" s="8" t="n">
        <v>0</v>
      </c>
      <c r="D80" s="8" t="n">
        <v>4</v>
      </c>
      <c r="E80" s="8" t="n">
        <v>4</v>
      </c>
    </row>
    <row r="81">
      <c r="A81" s="12" t="inlineStr">
        <is>
          <t>purp0</t>
        </is>
      </c>
      <c r="B81" s="12" t="inlineStr">
        <is>
          <t>Team Liquid Academy</t>
        </is>
      </c>
      <c r="C81" s="12" t="n">
        <v>0</v>
      </c>
      <c r="D81" s="12" t="n">
        <v>5</v>
      </c>
      <c r="E81" s="12" t="n">
        <v>5</v>
      </c>
    </row>
    <row r="82">
      <c r="A82" s="8" t="inlineStr">
        <is>
          <t>Saud</t>
        </is>
      </c>
      <c r="B82" s="8" t="inlineStr">
        <is>
          <t>Stallions Esports</t>
        </is>
      </c>
      <c r="C82" s="8" t="n">
        <v>0</v>
      </c>
      <c r="D82" s="8" t="n">
        <v>6</v>
      </c>
      <c r="E82" s="8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33333"/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Ign</t>
        </is>
      </c>
      <c r="B1" s="4" t="inlineStr">
        <is>
          <t>Team</t>
        </is>
      </c>
      <c r="C1" s="4" t="inlineStr">
        <is>
          <t>Agent</t>
        </is>
      </c>
      <c r="D1" s="4" t="inlineStr">
        <is>
          <t>Picks</t>
        </is>
      </c>
      <c r="E1" s="4" t="inlineStr">
        <is>
          <t>Matches</t>
        </is>
      </c>
      <c r="F1" s="4" t="inlineStr">
        <is>
          <t>Percentage</t>
        </is>
      </c>
    </row>
    <row r="2">
      <c r="A2" s="8" t="inlineStr">
        <is>
          <t>pa1ze</t>
        </is>
      </c>
      <c r="B2" s="8" t="inlineStr">
        <is>
          <t>FOKUS</t>
        </is>
      </c>
      <c r="C2" s="8" t="inlineStr">
        <is>
          <t>Neon</t>
        </is>
      </c>
      <c r="D2" s="8" t="n">
        <v>395</v>
      </c>
      <c r="E2" s="8" t="n">
        <v>49</v>
      </c>
      <c r="F2" s="8" t="n">
        <v>806.12</v>
      </c>
    </row>
    <row r="3">
      <c r="A3" s="12" t="inlineStr">
        <is>
          <t>pa1ze</t>
        </is>
      </c>
      <c r="B3" s="12" t="inlineStr">
        <is>
          <t>FOKUS</t>
        </is>
      </c>
      <c r="C3" s="12" t="inlineStr">
        <is>
          <t>Waylay</t>
        </is>
      </c>
      <c r="D3" s="12" t="n">
        <v>325</v>
      </c>
      <c r="E3" s="12" t="n">
        <v>49</v>
      </c>
      <c r="F3" s="12" t="n">
        <v>663.27</v>
      </c>
    </row>
    <row r="4">
      <c r="A4" s="8" t="inlineStr">
        <is>
          <t>pa1ze</t>
        </is>
      </c>
      <c r="B4" s="8" t="inlineStr">
        <is>
          <t>FOKUS</t>
        </is>
      </c>
      <c r="C4" s="8" t="inlineStr">
        <is>
          <t>Raze</t>
        </is>
      </c>
      <c r="D4" s="8" t="n">
        <v>278</v>
      </c>
      <c r="E4" s="8" t="n">
        <v>49</v>
      </c>
      <c r="F4" s="8" t="n">
        <v>567.35</v>
      </c>
    </row>
    <row r="5">
      <c r="A5" s="12" t="inlineStr">
        <is>
          <t>Serial</t>
        </is>
      </c>
      <c r="B5" s="12" t="inlineStr">
        <is>
          <t>FOKUS</t>
        </is>
      </c>
      <c r="C5" s="12" t="inlineStr">
        <is>
          <t>Viper</t>
        </is>
      </c>
      <c r="D5" s="12" t="n">
        <v>618</v>
      </c>
      <c r="E5" s="12" t="n">
        <v>49</v>
      </c>
      <c r="F5" s="12" t="n">
        <v>1261.22</v>
      </c>
    </row>
    <row r="6">
      <c r="A6" s="8" t="inlineStr">
        <is>
          <t>Serial</t>
        </is>
      </c>
      <c r="B6" s="8" t="inlineStr">
        <is>
          <t>FOKUS</t>
        </is>
      </c>
      <c r="C6" s="8" t="inlineStr">
        <is>
          <t>Veto</t>
        </is>
      </c>
      <c r="D6" s="8" t="n">
        <v>143</v>
      </c>
      <c r="E6" s="8" t="n">
        <v>49</v>
      </c>
      <c r="F6" s="8" t="n">
        <v>291.84</v>
      </c>
    </row>
    <row r="7">
      <c r="A7" s="12" t="inlineStr">
        <is>
          <t>Serial</t>
        </is>
      </c>
      <c r="B7" s="12" t="inlineStr">
        <is>
          <t>FOKUS</t>
        </is>
      </c>
      <c r="C7" s="12" t="inlineStr">
        <is>
          <t>Cypher</t>
        </is>
      </c>
      <c r="D7" s="12" t="n">
        <v>119</v>
      </c>
      <c r="E7" s="12" t="n">
        <v>49</v>
      </c>
      <c r="F7" s="12" t="n">
        <v>242.86</v>
      </c>
    </row>
    <row r="8">
      <c r="A8" s="8" t="inlineStr">
        <is>
          <t>Serial</t>
        </is>
      </c>
      <c r="B8" s="8" t="inlineStr">
        <is>
          <t>FOKUS</t>
        </is>
      </c>
      <c r="C8" s="8" t="inlineStr">
        <is>
          <t>Reyna</t>
        </is>
      </c>
      <c r="D8" s="8" t="n">
        <v>60</v>
      </c>
      <c r="E8" s="8" t="n">
        <v>49</v>
      </c>
      <c r="F8" s="8" t="n">
        <v>122.45</v>
      </c>
    </row>
    <row r="9">
      <c r="A9" s="12" t="inlineStr">
        <is>
          <t>Serial</t>
        </is>
      </c>
      <c r="B9" s="12" t="inlineStr">
        <is>
          <t>FOKUS</t>
        </is>
      </c>
      <c r="C9" s="12" t="inlineStr">
        <is>
          <t>Astra</t>
        </is>
      </c>
      <c r="D9" s="12" t="n">
        <v>41</v>
      </c>
      <c r="E9" s="12" t="n">
        <v>49</v>
      </c>
      <c r="F9" s="12" t="n">
        <v>83.67</v>
      </c>
    </row>
    <row r="10">
      <c r="A10" s="8" t="inlineStr">
        <is>
          <t>Serial</t>
        </is>
      </c>
      <c r="B10" s="8" t="inlineStr">
        <is>
          <t>FOKUS</t>
        </is>
      </c>
      <c r="C10" s="8" t="inlineStr">
        <is>
          <t>Vyse</t>
        </is>
      </c>
      <c r="D10" s="8" t="n">
        <v>17</v>
      </c>
      <c r="E10" s="8" t="n">
        <v>49</v>
      </c>
      <c r="F10" s="8" t="n">
        <v>34.69</v>
      </c>
    </row>
    <row r="11">
      <c r="A11" s="12" t="inlineStr">
        <is>
          <t>pyrolll</t>
        </is>
      </c>
      <c r="B11" s="12" t="inlineStr">
        <is>
          <t>FOKUS</t>
        </is>
      </c>
      <c r="C11" s="12" t="inlineStr">
        <is>
          <t>Yoru</t>
        </is>
      </c>
      <c r="D11" s="12" t="n">
        <v>901</v>
      </c>
      <c r="E11" s="12" t="n">
        <v>49</v>
      </c>
      <c r="F11" s="12" t="n">
        <v>1838.78</v>
      </c>
    </row>
    <row r="12">
      <c r="A12" s="8" t="inlineStr">
        <is>
          <t>pyrolll</t>
        </is>
      </c>
      <c r="B12" s="8" t="inlineStr">
        <is>
          <t>FOKUS</t>
        </is>
      </c>
      <c r="C12" s="8" t="inlineStr">
        <is>
          <t>Omen</t>
        </is>
      </c>
      <c r="D12" s="8" t="n">
        <v>40</v>
      </c>
      <c r="E12" s="8" t="n">
        <v>49</v>
      </c>
      <c r="F12" s="8" t="n">
        <v>81.63</v>
      </c>
    </row>
    <row r="13">
      <c r="A13" s="12" t="inlineStr">
        <is>
          <t>pyrolll</t>
        </is>
      </c>
      <c r="B13" s="12" t="inlineStr">
        <is>
          <t>FOKUS</t>
        </is>
      </c>
      <c r="C13" s="12" t="inlineStr">
        <is>
          <t>Killjoy</t>
        </is>
      </c>
      <c r="D13" s="12" t="n">
        <v>40</v>
      </c>
      <c r="E13" s="12" t="n">
        <v>49</v>
      </c>
      <c r="F13" s="12" t="n">
        <v>81.63</v>
      </c>
    </row>
    <row r="14">
      <c r="A14" s="8" t="inlineStr">
        <is>
          <t>pyrolll</t>
        </is>
      </c>
      <c r="B14" s="8" t="inlineStr">
        <is>
          <t>FOKUS</t>
        </is>
      </c>
      <c r="C14" s="8" t="inlineStr">
        <is>
          <t>Astra</t>
        </is>
      </c>
      <c r="D14" s="8" t="n">
        <v>17</v>
      </c>
      <c r="E14" s="8" t="n">
        <v>49</v>
      </c>
      <c r="F14" s="8" t="n">
        <v>34.69</v>
      </c>
    </row>
    <row r="15">
      <c r="A15" s="12" t="inlineStr">
        <is>
          <t>B1SK</t>
        </is>
      </c>
      <c r="B15" s="12" t="inlineStr">
        <is>
          <t>UCAM Esports</t>
        </is>
      </c>
      <c r="C15" s="12" t="inlineStr">
        <is>
          <t>Yoru</t>
        </is>
      </c>
      <c r="D15" s="12" t="n">
        <v>449</v>
      </c>
      <c r="E15" s="12" t="n">
        <v>46</v>
      </c>
      <c r="F15" s="12" t="n">
        <v>976.09</v>
      </c>
    </row>
    <row r="16">
      <c r="A16" s="8" t="inlineStr">
        <is>
          <t>B1SK</t>
        </is>
      </c>
      <c r="B16" s="8" t="inlineStr">
        <is>
          <t>UCAM Esports</t>
        </is>
      </c>
      <c r="C16" s="8" t="inlineStr">
        <is>
          <t>Waylay</t>
        </is>
      </c>
      <c r="D16" s="8" t="n">
        <v>228</v>
      </c>
      <c r="E16" s="8" t="n">
        <v>46</v>
      </c>
      <c r="F16" s="8" t="n">
        <v>495.65</v>
      </c>
    </row>
    <row r="17">
      <c r="A17" s="12" t="inlineStr">
        <is>
          <t>B1SK</t>
        </is>
      </c>
      <c r="B17" s="12" t="inlineStr">
        <is>
          <t>UCAM Esports</t>
        </is>
      </c>
      <c r="C17" s="12" t="inlineStr">
        <is>
          <t>Chamber</t>
        </is>
      </c>
      <c r="D17" s="12" t="n">
        <v>169</v>
      </c>
      <c r="E17" s="12" t="n">
        <v>46</v>
      </c>
      <c r="F17" s="12" t="n">
        <v>367.39</v>
      </c>
    </row>
    <row r="18">
      <c r="A18" s="8" t="inlineStr">
        <is>
          <t>B1SK</t>
        </is>
      </c>
      <c r="B18" s="8" t="inlineStr">
        <is>
          <t>UCAM Esports</t>
        </is>
      </c>
      <c r="C18" s="8" t="inlineStr">
        <is>
          <t>Raze</t>
        </is>
      </c>
      <c r="D18" s="8" t="n">
        <v>94</v>
      </c>
      <c r="E18" s="8" t="n">
        <v>46</v>
      </c>
      <c r="F18" s="8" t="n">
        <v>204.35</v>
      </c>
    </row>
    <row r="19">
      <c r="A19" s="12" t="inlineStr">
        <is>
          <t>B1SK</t>
        </is>
      </c>
      <c r="B19" s="12" t="inlineStr">
        <is>
          <t>UCAM Esports</t>
        </is>
      </c>
      <c r="C19" s="12" t="inlineStr">
        <is>
          <t>Jett</t>
        </is>
      </c>
      <c r="D19" s="12" t="n">
        <v>23</v>
      </c>
      <c r="E19" s="12" t="n">
        <v>46</v>
      </c>
      <c r="F19" s="12" t="n">
        <v>50</v>
      </c>
    </row>
    <row r="20">
      <c r="A20" s="8" t="inlineStr">
        <is>
          <t>Jamelinho</t>
        </is>
      </c>
      <c r="B20" s="8" t="inlineStr">
        <is>
          <t>Eintracht Frankfurt</t>
        </is>
      </c>
      <c r="C20" s="8" t="inlineStr">
        <is>
          <t>Neon</t>
        </is>
      </c>
      <c r="D20" s="8" t="n">
        <v>472</v>
      </c>
      <c r="E20" s="8" t="n">
        <v>43</v>
      </c>
      <c r="F20" s="8" t="n">
        <v>1097.67</v>
      </c>
    </row>
    <row r="21">
      <c r="A21" s="12" t="inlineStr">
        <is>
          <t>Jamelinho</t>
        </is>
      </c>
      <c r="B21" s="12" t="inlineStr">
        <is>
          <t>Eintracht Frankfurt</t>
        </is>
      </c>
      <c r="C21" s="12" t="inlineStr">
        <is>
          <t>Waylay</t>
        </is>
      </c>
      <c r="D21" s="12" t="n">
        <v>406</v>
      </c>
      <c r="E21" s="12" t="n">
        <v>43</v>
      </c>
      <c r="F21" s="12" t="n">
        <v>944.1900000000001</v>
      </c>
    </row>
    <row r="22">
      <c r="A22" s="8" t="inlineStr">
        <is>
          <t>Jamelinho</t>
        </is>
      </c>
      <c r="B22" s="8" t="inlineStr">
        <is>
          <t>Eintracht Frankfurt</t>
        </is>
      </c>
      <c r="C22" s="8" t="inlineStr">
        <is>
          <t>Yoru</t>
        </is>
      </c>
      <c r="D22" s="8" t="n">
        <v>23</v>
      </c>
      <c r="E22" s="8" t="n">
        <v>43</v>
      </c>
      <c r="F22" s="8" t="n">
        <v>53.49</v>
      </c>
    </row>
    <row r="23">
      <c r="A23" s="12" t="inlineStr">
        <is>
          <t>MONSTEERR</t>
        </is>
      </c>
      <c r="B23" s="12" t="inlineStr">
        <is>
          <t>Eintracht Frankfurt</t>
        </is>
      </c>
      <c r="C23" s="12" t="inlineStr">
        <is>
          <t>Viper</t>
        </is>
      </c>
      <c r="D23" s="12" t="n">
        <v>466</v>
      </c>
      <c r="E23" s="12" t="n">
        <v>43</v>
      </c>
      <c r="F23" s="12" t="n">
        <v>1083.72</v>
      </c>
    </row>
    <row r="24">
      <c r="A24" s="8" t="inlineStr">
        <is>
          <t>MONSTEERR</t>
        </is>
      </c>
      <c r="B24" s="8" t="inlineStr">
        <is>
          <t>Eintracht Frankfurt</t>
        </is>
      </c>
      <c r="C24" s="8" t="inlineStr">
        <is>
          <t>Killjoy</t>
        </is>
      </c>
      <c r="D24" s="8" t="n">
        <v>265</v>
      </c>
      <c r="E24" s="8" t="n">
        <v>43</v>
      </c>
      <c r="F24" s="8" t="n">
        <v>616.28</v>
      </c>
    </row>
    <row r="25">
      <c r="A25" s="12" t="inlineStr">
        <is>
          <t>MONSTEERR</t>
        </is>
      </c>
      <c r="B25" s="12" t="inlineStr">
        <is>
          <t>Eintracht Frankfurt</t>
        </is>
      </c>
      <c r="C25" s="12" t="inlineStr">
        <is>
          <t>Veto</t>
        </is>
      </c>
      <c r="D25" s="12" t="n">
        <v>128</v>
      </c>
      <c r="E25" s="12" t="n">
        <v>43</v>
      </c>
      <c r="F25" s="12" t="n">
        <v>297.67</v>
      </c>
    </row>
    <row r="26">
      <c r="A26" s="8" t="inlineStr">
        <is>
          <t>MONSTEERR</t>
        </is>
      </c>
      <c r="B26" s="8" t="inlineStr">
        <is>
          <t>Eintracht Frankfurt</t>
        </is>
      </c>
      <c r="C26" s="8" t="inlineStr">
        <is>
          <t>Astra</t>
        </is>
      </c>
      <c r="D26" s="8" t="n">
        <v>42</v>
      </c>
      <c r="E26" s="8" t="n">
        <v>43</v>
      </c>
      <c r="F26" s="8" t="n">
        <v>97.67</v>
      </c>
    </row>
    <row r="27">
      <c r="A27" s="12" t="inlineStr">
        <is>
          <t>Fizzy</t>
        </is>
      </c>
      <c r="B27" s="12" t="inlineStr">
        <is>
          <t>Eintracht Frankfurt</t>
        </is>
      </c>
      <c r="C27" s="12" t="inlineStr">
        <is>
          <t>Omen</t>
        </is>
      </c>
      <c r="D27" s="12" t="n">
        <v>371</v>
      </c>
      <c r="E27" s="12" t="n">
        <v>43</v>
      </c>
      <c r="F27" s="12" t="n">
        <v>862.79</v>
      </c>
    </row>
    <row r="28">
      <c r="A28" s="8" t="inlineStr">
        <is>
          <t>Fizzy</t>
        </is>
      </c>
      <c r="B28" s="8" t="inlineStr">
        <is>
          <t>Eintracht Frankfurt</t>
        </is>
      </c>
      <c r="C28" s="8" t="inlineStr">
        <is>
          <t>Astra</t>
        </is>
      </c>
      <c r="D28" s="8" t="n">
        <v>306</v>
      </c>
      <c r="E28" s="8" t="n">
        <v>43</v>
      </c>
      <c r="F28" s="8" t="n">
        <v>711.63</v>
      </c>
    </row>
    <row r="29">
      <c r="A29" s="12" t="inlineStr">
        <is>
          <t>Fizzy</t>
        </is>
      </c>
      <c r="B29" s="12" t="inlineStr">
        <is>
          <t>Eintracht Frankfurt</t>
        </is>
      </c>
      <c r="C29" s="12" t="inlineStr">
        <is>
          <t>Brimstone</t>
        </is>
      </c>
      <c r="D29" s="12" t="n">
        <v>182</v>
      </c>
      <c r="E29" s="12" t="n">
        <v>43</v>
      </c>
      <c r="F29" s="12" t="n">
        <v>423.26</v>
      </c>
    </row>
    <row r="30">
      <c r="A30" s="8" t="inlineStr">
        <is>
          <t>Fizzy</t>
        </is>
      </c>
      <c r="B30" s="8" t="inlineStr">
        <is>
          <t>Eintracht Frankfurt</t>
        </is>
      </c>
      <c r="C30" s="8" t="inlineStr">
        <is>
          <t>Harbor</t>
        </is>
      </c>
      <c r="D30" s="8" t="n">
        <v>42</v>
      </c>
      <c r="E30" s="8" t="n">
        <v>43</v>
      </c>
      <c r="F30" s="8" t="n">
        <v>97.67</v>
      </c>
    </row>
    <row r="31">
      <c r="A31" s="12" t="inlineStr">
        <is>
          <t>shinnok</t>
        </is>
      </c>
      <c r="B31" s="12" t="inlineStr">
        <is>
          <t>FOKUS</t>
        </is>
      </c>
      <c r="C31" s="12" t="inlineStr">
        <is>
          <t>Sova</t>
        </is>
      </c>
      <c r="D31" s="12" t="n">
        <v>580</v>
      </c>
      <c r="E31" s="12" t="n">
        <v>49</v>
      </c>
      <c r="F31" s="12" t="n">
        <v>1183.67</v>
      </c>
    </row>
    <row r="32">
      <c r="A32" s="8" t="inlineStr">
        <is>
          <t>shinnok</t>
        </is>
      </c>
      <c r="B32" s="8" t="inlineStr">
        <is>
          <t>FOKUS</t>
        </is>
      </c>
      <c r="C32" s="8" t="inlineStr">
        <is>
          <t>Fade</t>
        </is>
      </c>
      <c r="D32" s="8" t="n">
        <v>321</v>
      </c>
      <c r="E32" s="8" t="n">
        <v>49</v>
      </c>
      <c r="F32" s="8" t="n">
        <v>655.1</v>
      </c>
    </row>
    <row r="33">
      <c r="A33" s="12" t="inlineStr">
        <is>
          <t>shinnok</t>
        </is>
      </c>
      <c r="B33" s="12" t="inlineStr">
        <is>
          <t>FOKUS</t>
        </is>
      </c>
      <c r="C33" s="12" t="inlineStr">
        <is>
          <t>Skye</t>
        </is>
      </c>
      <c r="D33" s="12" t="n">
        <v>97</v>
      </c>
      <c r="E33" s="12" t="n">
        <v>49</v>
      </c>
      <c r="F33" s="12" t="n">
        <v>197.96</v>
      </c>
    </row>
    <row r="34">
      <c r="A34" s="8" t="inlineStr">
        <is>
          <t>Famsii</t>
        </is>
      </c>
      <c r="B34" s="8" t="inlineStr">
        <is>
          <t>UCAM Esports</t>
        </is>
      </c>
      <c r="C34" s="8" t="inlineStr">
        <is>
          <t>Fade</t>
        </is>
      </c>
      <c r="D34" s="8" t="n">
        <v>456</v>
      </c>
      <c r="E34" s="8" t="n">
        <v>46</v>
      </c>
      <c r="F34" s="8" t="n">
        <v>991.3</v>
      </c>
    </row>
    <row r="35">
      <c r="A35" s="12" t="inlineStr">
        <is>
          <t>Famsii</t>
        </is>
      </c>
      <c r="B35" s="12" t="inlineStr">
        <is>
          <t>UCAM Esports</t>
        </is>
      </c>
      <c r="C35" s="12" t="inlineStr">
        <is>
          <t>Raze</t>
        </is>
      </c>
      <c r="D35" s="12" t="n">
        <v>238</v>
      </c>
      <c r="E35" s="12" t="n">
        <v>46</v>
      </c>
      <c r="F35" s="12" t="n">
        <v>517.39</v>
      </c>
    </row>
    <row r="36">
      <c r="A36" s="8" t="inlineStr">
        <is>
          <t>Famsii</t>
        </is>
      </c>
      <c r="B36" s="8" t="inlineStr">
        <is>
          <t>UCAM Esports</t>
        </is>
      </c>
      <c r="C36" s="8" t="inlineStr">
        <is>
          <t>Waylay</t>
        </is>
      </c>
      <c r="D36" s="8" t="n">
        <v>140</v>
      </c>
      <c r="E36" s="8" t="n">
        <v>46</v>
      </c>
      <c r="F36" s="8" t="n">
        <v>304.35</v>
      </c>
    </row>
    <row r="37">
      <c r="A37" s="12" t="inlineStr">
        <is>
          <t>Famsii</t>
        </is>
      </c>
      <c r="B37" s="12" t="inlineStr">
        <is>
          <t>UCAM Esports</t>
        </is>
      </c>
      <c r="C37" s="12" t="inlineStr">
        <is>
          <t>Tejo</t>
        </is>
      </c>
      <c r="D37" s="12" t="n">
        <v>86</v>
      </c>
      <c r="E37" s="12" t="n">
        <v>46</v>
      </c>
      <c r="F37" s="12" t="n">
        <v>186.96</v>
      </c>
    </row>
    <row r="38">
      <c r="A38" s="8" t="inlineStr">
        <is>
          <t>Famsii</t>
        </is>
      </c>
      <c r="B38" s="8" t="inlineStr">
        <is>
          <t>UCAM Esports</t>
        </is>
      </c>
      <c r="C38" s="8" t="inlineStr">
        <is>
          <t>Yoru</t>
        </is>
      </c>
      <c r="D38" s="8" t="n">
        <v>23</v>
      </c>
      <c r="E38" s="8" t="n">
        <v>46</v>
      </c>
      <c r="F38" s="8" t="n">
        <v>50</v>
      </c>
    </row>
    <row r="39">
      <c r="A39" s="12" t="inlineStr">
        <is>
          <t>Famsii</t>
        </is>
      </c>
      <c r="B39" s="12" t="inlineStr">
        <is>
          <t>UCAM Esports</t>
        </is>
      </c>
      <c r="C39" s="12" t="inlineStr">
        <is>
          <t>Sova</t>
        </is>
      </c>
      <c r="D39" s="12" t="n">
        <v>20</v>
      </c>
      <c r="E39" s="12" t="n">
        <v>46</v>
      </c>
      <c r="F39" s="12" t="n">
        <v>43.48</v>
      </c>
    </row>
    <row r="40">
      <c r="A40" s="8" t="inlineStr">
        <is>
          <t>OLIZERA</t>
        </is>
      </c>
      <c r="B40" s="8" t="inlineStr">
        <is>
          <t>UCAM Esports</t>
        </is>
      </c>
      <c r="C40" s="8" t="inlineStr">
        <is>
          <t>Viper</t>
        </is>
      </c>
      <c r="D40" s="8" t="n">
        <v>607</v>
      </c>
      <c r="E40" s="8" t="n">
        <v>46</v>
      </c>
      <c r="F40" s="8" t="n">
        <v>1319.57</v>
      </c>
    </row>
    <row r="41">
      <c r="A41" s="12" t="inlineStr">
        <is>
          <t>OLIZERA</t>
        </is>
      </c>
      <c r="B41" s="12" t="inlineStr">
        <is>
          <t>UCAM Esports</t>
        </is>
      </c>
      <c r="C41" s="12" t="inlineStr">
        <is>
          <t>Killjoy</t>
        </is>
      </c>
      <c r="D41" s="12" t="n">
        <v>291</v>
      </c>
      <c r="E41" s="12" t="n">
        <v>46</v>
      </c>
      <c r="F41" s="12" t="n">
        <v>632.61</v>
      </c>
    </row>
    <row r="42">
      <c r="A42" s="8" t="inlineStr">
        <is>
          <t>OLIZERA</t>
        </is>
      </c>
      <c r="B42" s="8" t="inlineStr">
        <is>
          <t>UCAM Esports</t>
        </is>
      </c>
      <c r="C42" s="8" t="inlineStr">
        <is>
          <t>Waylay</t>
        </is>
      </c>
      <c r="D42" s="8" t="n">
        <v>23</v>
      </c>
      <c r="E42" s="8" t="n">
        <v>46</v>
      </c>
      <c r="F42" s="8" t="n">
        <v>50</v>
      </c>
    </row>
    <row r="43">
      <c r="A43" s="12" t="inlineStr">
        <is>
          <t>OLIZERA</t>
        </is>
      </c>
      <c r="B43" s="12" t="inlineStr">
        <is>
          <t>UCAM Esports</t>
        </is>
      </c>
      <c r="C43" s="12" t="inlineStr">
        <is>
          <t>Tejo</t>
        </is>
      </c>
      <c r="D43" s="12" t="n">
        <v>22</v>
      </c>
      <c r="E43" s="12" t="n">
        <v>46</v>
      </c>
      <c r="F43" s="12" t="n">
        <v>47.83</v>
      </c>
    </row>
    <row r="44">
      <c r="A44" s="8" t="inlineStr">
        <is>
          <t>OLIZERA</t>
        </is>
      </c>
      <c r="B44" s="8" t="inlineStr">
        <is>
          <t>UCAM Esports</t>
        </is>
      </c>
      <c r="C44" s="8" t="inlineStr">
        <is>
          <t>Cypher</t>
        </is>
      </c>
      <c r="D44" s="8" t="n">
        <v>20</v>
      </c>
      <c r="E44" s="8" t="n">
        <v>46</v>
      </c>
      <c r="F44" s="8" t="n">
        <v>43.48</v>
      </c>
    </row>
    <row r="45">
      <c r="A45" s="12" t="inlineStr">
        <is>
          <t>MOLSI</t>
        </is>
      </c>
      <c r="B45" s="12" t="inlineStr">
        <is>
          <t>FOKUS</t>
        </is>
      </c>
      <c r="C45" s="12" t="inlineStr">
        <is>
          <t>Omen</t>
        </is>
      </c>
      <c r="D45" s="12" t="n">
        <v>428</v>
      </c>
      <c r="E45" s="12" t="n">
        <v>49</v>
      </c>
      <c r="F45" s="12" t="n">
        <v>873.47</v>
      </c>
    </row>
    <row r="46">
      <c r="A46" s="8" t="inlineStr">
        <is>
          <t>MOLSI</t>
        </is>
      </c>
      <c r="B46" s="8" t="inlineStr">
        <is>
          <t>FOKUS</t>
        </is>
      </c>
      <c r="C46" s="8" t="inlineStr">
        <is>
          <t>Astra</t>
        </is>
      </c>
      <c r="D46" s="8" t="n">
        <v>291</v>
      </c>
      <c r="E46" s="8" t="n">
        <v>49</v>
      </c>
      <c r="F46" s="8" t="n">
        <v>593.88</v>
      </c>
    </row>
    <row r="47">
      <c r="A47" s="12" t="inlineStr">
        <is>
          <t>MOLSI</t>
        </is>
      </c>
      <c r="B47" s="12" t="inlineStr">
        <is>
          <t>FOKUS</t>
        </is>
      </c>
      <c r="C47" s="12" t="inlineStr">
        <is>
          <t>Brimstone</t>
        </is>
      </c>
      <c r="D47" s="12" t="n">
        <v>181</v>
      </c>
      <c r="E47" s="12" t="n">
        <v>49</v>
      </c>
      <c r="F47" s="12" t="n">
        <v>369.39</v>
      </c>
    </row>
    <row r="48">
      <c r="A48" s="8" t="inlineStr">
        <is>
          <t>MOLSI</t>
        </is>
      </c>
      <c r="B48" s="8" t="inlineStr">
        <is>
          <t>FOKUS</t>
        </is>
      </c>
      <c r="C48" s="8" t="inlineStr">
        <is>
          <t>Veto</t>
        </is>
      </c>
      <c r="D48" s="8" t="n">
        <v>60</v>
      </c>
      <c r="E48" s="8" t="n">
        <v>49</v>
      </c>
      <c r="F48" s="8" t="n">
        <v>122.45</v>
      </c>
    </row>
    <row r="49">
      <c r="A49" s="12" t="inlineStr">
        <is>
          <t>MOLSI</t>
        </is>
      </c>
      <c r="B49" s="12" t="inlineStr">
        <is>
          <t>FOKUS</t>
        </is>
      </c>
      <c r="C49" s="12" t="inlineStr">
        <is>
          <t>Waylay</t>
        </is>
      </c>
      <c r="D49" s="12" t="n">
        <v>21</v>
      </c>
      <c r="E49" s="12" t="n">
        <v>49</v>
      </c>
      <c r="F49" s="12" t="n">
        <v>42.86</v>
      </c>
    </row>
    <row r="50">
      <c r="A50" s="8" t="inlineStr">
        <is>
          <t>MOLSI</t>
        </is>
      </c>
      <c r="B50" s="8" t="inlineStr">
        <is>
          <t>FOKUS</t>
        </is>
      </c>
      <c r="C50" s="8" t="inlineStr">
        <is>
          <t>Phoenix</t>
        </is>
      </c>
      <c r="D50" s="8" t="n">
        <v>17</v>
      </c>
      <c r="E50" s="8" t="n">
        <v>49</v>
      </c>
      <c r="F50" s="8" t="n">
        <v>34.69</v>
      </c>
    </row>
    <row r="51">
      <c r="A51" s="12" t="inlineStr">
        <is>
          <t>Jesse</t>
        </is>
      </c>
      <c r="B51" s="12" t="inlineStr">
        <is>
          <t>UCAM Esports</t>
        </is>
      </c>
      <c r="C51" s="12" t="inlineStr">
        <is>
          <t>Omen</t>
        </is>
      </c>
      <c r="D51" s="12" t="n">
        <v>569</v>
      </c>
      <c r="E51" s="12" t="n">
        <v>46</v>
      </c>
      <c r="F51" s="12" t="n">
        <v>1236.96</v>
      </c>
    </row>
    <row r="52">
      <c r="A52" s="8" t="inlineStr">
        <is>
          <t>Jesse</t>
        </is>
      </c>
      <c r="B52" s="8" t="inlineStr">
        <is>
          <t>UCAM Esports</t>
        </is>
      </c>
      <c r="C52" s="8" t="inlineStr">
        <is>
          <t>Brimstone</t>
        </is>
      </c>
      <c r="D52" s="8" t="n">
        <v>263</v>
      </c>
      <c r="E52" s="8" t="n">
        <v>46</v>
      </c>
      <c r="F52" s="8" t="n">
        <v>571.74</v>
      </c>
    </row>
    <row r="53">
      <c r="A53" s="12" t="inlineStr">
        <is>
          <t>Jesse</t>
        </is>
      </c>
      <c r="B53" s="12" t="inlineStr">
        <is>
          <t>UCAM Esports</t>
        </is>
      </c>
      <c r="C53" s="12" t="inlineStr">
        <is>
          <t>Astra</t>
        </is>
      </c>
      <c r="D53" s="12" t="n">
        <v>131</v>
      </c>
      <c r="E53" s="12" t="n">
        <v>46</v>
      </c>
      <c r="F53" s="12" t="n">
        <v>284.78</v>
      </c>
    </row>
    <row r="54">
      <c r="A54" s="8" t="inlineStr">
        <is>
          <t>azury</t>
        </is>
      </c>
      <c r="B54" s="8" t="inlineStr">
        <is>
          <t>Eintracht Frankfurt</t>
        </is>
      </c>
      <c r="C54" s="8" t="inlineStr">
        <is>
          <t>Yoru</t>
        </is>
      </c>
      <c r="D54" s="8" t="n">
        <v>663</v>
      </c>
      <c r="E54" s="8" t="n">
        <v>43</v>
      </c>
      <c r="F54" s="8" t="n">
        <v>1541.86</v>
      </c>
    </row>
    <row r="55">
      <c r="A55" s="12" t="inlineStr">
        <is>
          <t>azury</t>
        </is>
      </c>
      <c r="B55" s="12" t="inlineStr">
        <is>
          <t>Eintracht Frankfurt</t>
        </is>
      </c>
      <c r="C55" s="12" t="inlineStr">
        <is>
          <t>Viper</t>
        </is>
      </c>
      <c r="D55" s="12" t="n">
        <v>154</v>
      </c>
      <c r="E55" s="12" t="n">
        <v>43</v>
      </c>
      <c r="F55" s="12" t="n">
        <v>358.14</v>
      </c>
    </row>
    <row r="56">
      <c r="A56" s="8" t="inlineStr">
        <is>
          <t>azury</t>
        </is>
      </c>
      <c r="B56" s="8" t="inlineStr">
        <is>
          <t>Eintracht Frankfurt</t>
        </is>
      </c>
      <c r="C56" s="8" t="inlineStr">
        <is>
          <t>KAY/O</t>
        </is>
      </c>
      <c r="D56" s="8" t="n">
        <v>61</v>
      </c>
      <c r="E56" s="8" t="n">
        <v>43</v>
      </c>
      <c r="F56" s="8" t="n">
        <v>141.86</v>
      </c>
    </row>
    <row r="57">
      <c r="A57" s="12" t="inlineStr">
        <is>
          <t>azury</t>
        </is>
      </c>
      <c r="B57" s="12" t="inlineStr">
        <is>
          <t>Eintracht Frankfurt</t>
        </is>
      </c>
      <c r="C57" s="12" t="inlineStr">
        <is>
          <t>Phoenix</t>
        </is>
      </c>
      <c r="D57" s="12" t="n">
        <v>23</v>
      </c>
      <c r="E57" s="12" t="n">
        <v>43</v>
      </c>
      <c r="F57" s="12" t="n">
        <v>53.49</v>
      </c>
    </row>
    <row r="58">
      <c r="A58" s="8" t="inlineStr">
        <is>
          <t>BULD</t>
        </is>
      </c>
      <c r="B58" s="8" t="inlineStr">
        <is>
          <t>UCAM Esports</t>
        </is>
      </c>
      <c r="C58" s="8" t="inlineStr">
        <is>
          <t>Skye</t>
        </is>
      </c>
      <c r="D58" s="8" t="n">
        <v>263</v>
      </c>
      <c r="E58" s="8" t="n">
        <v>46</v>
      </c>
      <c r="F58" s="8" t="n">
        <v>571.74</v>
      </c>
    </row>
    <row r="59">
      <c r="A59" s="12" t="inlineStr">
        <is>
          <t>BULD</t>
        </is>
      </c>
      <c r="B59" s="12" t="inlineStr">
        <is>
          <t>UCAM Esports</t>
        </is>
      </c>
      <c r="C59" s="12" t="inlineStr">
        <is>
          <t>Viper</t>
        </is>
      </c>
      <c r="D59" s="12" t="n">
        <v>248</v>
      </c>
      <c r="E59" s="12" t="n">
        <v>46</v>
      </c>
      <c r="F59" s="12" t="n">
        <v>539.13</v>
      </c>
    </row>
    <row r="60">
      <c r="A60" s="8" t="inlineStr">
        <is>
          <t>BULD</t>
        </is>
      </c>
      <c r="B60" s="8" t="inlineStr">
        <is>
          <t>UCAM Esports</t>
        </is>
      </c>
      <c r="C60" s="8" t="inlineStr">
        <is>
          <t>Sage</t>
        </is>
      </c>
      <c r="D60" s="8" t="n">
        <v>228</v>
      </c>
      <c r="E60" s="8" t="n">
        <v>46</v>
      </c>
      <c r="F60" s="8" t="n">
        <v>495.65</v>
      </c>
    </row>
    <row r="61">
      <c r="A61" s="12" t="inlineStr">
        <is>
          <t>BULD</t>
        </is>
      </c>
      <c r="B61" s="12" t="inlineStr">
        <is>
          <t>UCAM Esports</t>
        </is>
      </c>
      <c r="C61" s="12" t="inlineStr">
        <is>
          <t>Fade</t>
        </is>
      </c>
      <c r="D61" s="12" t="n">
        <v>156</v>
      </c>
      <c r="E61" s="12" t="n">
        <v>46</v>
      </c>
      <c r="F61" s="12" t="n">
        <v>339.13</v>
      </c>
    </row>
    <row r="62">
      <c r="A62" s="8" t="inlineStr">
        <is>
          <t>BULD</t>
        </is>
      </c>
      <c r="B62" s="8" t="inlineStr">
        <is>
          <t>UCAM Esports</t>
        </is>
      </c>
      <c r="C62" s="8" t="inlineStr">
        <is>
          <t>Breach</t>
        </is>
      </c>
      <c r="D62" s="8" t="n">
        <v>45</v>
      </c>
      <c r="E62" s="8" t="n">
        <v>46</v>
      </c>
      <c r="F62" s="8" t="n">
        <v>97.83</v>
      </c>
    </row>
    <row r="63">
      <c r="A63" s="12" t="inlineStr">
        <is>
          <t>BULD</t>
        </is>
      </c>
      <c r="B63" s="12" t="inlineStr">
        <is>
          <t>UCAM Esports</t>
        </is>
      </c>
      <c r="C63" s="12" t="inlineStr">
        <is>
          <t>Sova</t>
        </is>
      </c>
      <c r="D63" s="12" t="n">
        <v>23</v>
      </c>
      <c r="E63" s="12" t="n">
        <v>46</v>
      </c>
      <c r="F63" s="12" t="n">
        <v>50</v>
      </c>
    </row>
    <row r="64">
      <c r="A64" s="8" t="inlineStr">
        <is>
          <t>musashi</t>
        </is>
      </c>
      <c r="B64" s="8" t="inlineStr">
        <is>
          <t>Eintracht Frankfurt</t>
        </is>
      </c>
      <c r="C64" s="8" t="inlineStr">
        <is>
          <t>Sova</t>
        </is>
      </c>
      <c r="D64" s="8" t="n">
        <v>487</v>
      </c>
      <c r="E64" s="8" t="n">
        <v>43</v>
      </c>
      <c r="F64" s="8" t="n">
        <v>1132.56</v>
      </c>
    </row>
    <row r="65">
      <c r="A65" s="12" t="inlineStr">
        <is>
          <t>musashi</t>
        </is>
      </c>
      <c r="B65" s="12" t="inlineStr">
        <is>
          <t>Eintracht Frankfurt</t>
        </is>
      </c>
      <c r="C65" s="12" t="inlineStr">
        <is>
          <t>Fade</t>
        </is>
      </c>
      <c r="D65" s="12" t="n">
        <v>414</v>
      </c>
      <c r="E65" s="12" t="n">
        <v>43</v>
      </c>
      <c r="F65" s="12" t="n">
        <v>962.79</v>
      </c>
    </row>
    <row r="66">
      <c r="A66" s="8" t="inlineStr">
        <is>
          <t>globeX</t>
        </is>
      </c>
      <c r="B66" s="8" t="inlineStr">
        <is>
          <t>Barça eSports</t>
        </is>
      </c>
      <c r="C66" s="8" t="inlineStr">
        <is>
          <t>Waylay</t>
        </is>
      </c>
      <c r="D66" s="8" t="n">
        <v>423</v>
      </c>
      <c r="E66" s="8" t="n">
        <v>30</v>
      </c>
      <c r="F66" s="8" t="n">
        <v>1410</v>
      </c>
    </row>
    <row r="67">
      <c r="A67" s="12" t="inlineStr">
        <is>
          <t>globeX</t>
        </is>
      </c>
      <c r="B67" s="12" t="inlineStr">
        <is>
          <t>Barça eSports</t>
        </is>
      </c>
      <c r="C67" s="12" t="inlineStr">
        <is>
          <t>Neon</t>
        </is>
      </c>
      <c r="D67" s="12" t="n">
        <v>171</v>
      </c>
      <c r="E67" s="12" t="n">
        <v>30</v>
      </c>
      <c r="F67" s="12" t="n">
        <v>570</v>
      </c>
    </row>
    <row r="68">
      <c r="A68" s="8" t="inlineStr">
        <is>
          <t>globeX</t>
        </is>
      </c>
      <c r="B68" s="8" t="inlineStr">
        <is>
          <t>Barça eSports</t>
        </is>
      </c>
      <c r="C68" s="8" t="inlineStr">
        <is>
          <t>Jett</t>
        </is>
      </c>
      <c r="D68" s="8" t="n">
        <v>43</v>
      </c>
      <c r="E68" s="8" t="n">
        <v>30</v>
      </c>
      <c r="F68" s="8" t="n">
        <v>143.33</v>
      </c>
    </row>
    <row r="69">
      <c r="A69" s="12" t="inlineStr">
        <is>
          <t>Susano</t>
        </is>
      </c>
      <c r="B69" s="12" t="inlineStr">
        <is>
          <t>Stallions Esports</t>
        </is>
      </c>
      <c r="C69" s="12" t="inlineStr">
        <is>
          <t>Yoru</t>
        </is>
      </c>
      <c r="D69" s="12" t="n">
        <v>529</v>
      </c>
      <c r="E69" s="12" t="n">
        <v>31</v>
      </c>
      <c r="F69" s="12" t="n">
        <v>1706.45</v>
      </c>
    </row>
    <row r="70">
      <c r="A70" s="8" t="inlineStr">
        <is>
          <t>Susano</t>
        </is>
      </c>
      <c r="B70" s="8" t="inlineStr">
        <is>
          <t>Stallions Esports</t>
        </is>
      </c>
      <c r="C70" s="8" t="inlineStr">
        <is>
          <t>Brimstone</t>
        </is>
      </c>
      <c r="D70" s="8" t="n">
        <v>45</v>
      </c>
      <c r="E70" s="8" t="n">
        <v>31</v>
      </c>
      <c r="F70" s="8" t="n">
        <v>145.16</v>
      </c>
    </row>
    <row r="71">
      <c r="A71" s="12" t="inlineStr">
        <is>
          <t>Susano</t>
        </is>
      </c>
      <c r="B71" s="12" t="inlineStr">
        <is>
          <t>Stallions Esports</t>
        </is>
      </c>
      <c r="C71" s="12" t="inlineStr">
        <is>
          <t>Jett</t>
        </is>
      </c>
      <c r="D71" s="12" t="n">
        <v>26</v>
      </c>
      <c r="E71" s="12" t="n">
        <v>31</v>
      </c>
      <c r="F71" s="12" t="n">
        <v>83.87</v>
      </c>
    </row>
    <row r="72">
      <c r="A72" s="8" t="inlineStr">
        <is>
          <t>Susano</t>
        </is>
      </c>
      <c r="B72" s="8" t="inlineStr">
        <is>
          <t>Stallions Esports</t>
        </is>
      </c>
      <c r="C72" s="8" t="inlineStr">
        <is>
          <t>Omen</t>
        </is>
      </c>
      <c r="D72" s="8" t="n">
        <v>14</v>
      </c>
      <c r="E72" s="8" t="n">
        <v>31</v>
      </c>
      <c r="F72" s="8" t="n">
        <v>45.16</v>
      </c>
    </row>
    <row r="73">
      <c r="A73" s="12" t="inlineStr">
        <is>
          <t>Susano</t>
        </is>
      </c>
      <c r="B73" s="12" t="inlineStr">
        <is>
          <t>Stallions Esports</t>
        </is>
      </c>
      <c r="C73" s="12" t="inlineStr">
        <is>
          <t>Iso</t>
        </is>
      </c>
      <c r="D73" s="12" t="n">
        <v>14</v>
      </c>
      <c r="E73" s="12" t="n">
        <v>31</v>
      </c>
      <c r="F73" s="12" t="n">
        <v>45.16</v>
      </c>
    </row>
    <row r="74">
      <c r="A74" s="8" t="inlineStr">
        <is>
          <t>Susano</t>
        </is>
      </c>
      <c r="B74" s="8" t="inlineStr">
        <is>
          <t>Stallions Esports</t>
        </is>
      </c>
      <c r="C74" s="8" t="inlineStr">
        <is>
          <t>Viper</t>
        </is>
      </c>
      <c r="D74" s="8" t="n">
        <v>13</v>
      </c>
      <c r="E74" s="8" t="n">
        <v>31</v>
      </c>
      <c r="F74" s="8" t="n">
        <v>41.94</v>
      </c>
    </row>
    <row r="75">
      <c r="A75" s="12" t="inlineStr">
        <is>
          <t>Kachoww</t>
        </is>
      </c>
      <c r="B75" s="12" t="inlineStr">
        <is>
          <t>S2G Esports</t>
        </is>
      </c>
      <c r="C75" s="12" t="inlineStr">
        <is>
          <t>Yoru</t>
        </is>
      </c>
      <c r="D75" s="12" t="n">
        <v>500</v>
      </c>
      <c r="E75" s="12" t="n">
        <v>29</v>
      </c>
      <c r="F75" s="12" t="n">
        <v>1724.14</v>
      </c>
    </row>
    <row r="76">
      <c r="A76" s="8" t="inlineStr">
        <is>
          <t>Kachoww</t>
        </is>
      </c>
      <c r="B76" s="8" t="inlineStr">
        <is>
          <t>S2G Esports</t>
        </is>
      </c>
      <c r="C76" s="8" t="inlineStr">
        <is>
          <t>KAY/O</t>
        </is>
      </c>
      <c r="D76" s="8" t="n">
        <v>68</v>
      </c>
      <c r="E76" s="8" t="n">
        <v>29</v>
      </c>
      <c r="F76" s="8" t="n">
        <v>234.48</v>
      </c>
    </row>
    <row r="77">
      <c r="A77" s="12" t="inlineStr">
        <is>
          <t>Kachoww</t>
        </is>
      </c>
      <c r="B77" s="12" t="inlineStr">
        <is>
          <t>S2G Esports</t>
        </is>
      </c>
      <c r="C77" s="12" t="inlineStr">
        <is>
          <t>Omen</t>
        </is>
      </c>
      <c r="D77" s="12" t="n">
        <v>26</v>
      </c>
      <c r="E77" s="12" t="n">
        <v>29</v>
      </c>
      <c r="F77" s="12" t="n">
        <v>89.66</v>
      </c>
    </row>
    <row r="78">
      <c r="A78" s="8" t="inlineStr">
        <is>
          <t>Kachoww</t>
        </is>
      </c>
      <c r="B78" s="8" t="inlineStr">
        <is>
          <t>S2G Esports</t>
        </is>
      </c>
      <c r="C78" s="8" t="inlineStr">
        <is>
          <t>Phoenix</t>
        </is>
      </c>
      <c r="D78" s="8" t="n">
        <v>24</v>
      </c>
      <c r="E78" s="8" t="n">
        <v>29</v>
      </c>
      <c r="F78" s="8" t="n">
        <v>82.76000000000001</v>
      </c>
    </row>
    <row r="79">
      <c r="A79" s="12" t="inlineStr">
        <is>
          <t>Kachoww</t>
        </is>
      </c>
      <c r="B79" s="12" t="inlineStr">
        <is>
          <t>S2G Esports</t>
        </is>
      </c>
      <c r="C79" s="12" t="inlineStr">
        <is>
          <t>Neon</t>
        </is>
      </c>
      <c r="D79" s="12" t="n">
        <v>23</v>
      </c>
      <c r="E79" s="12" t="n">
        <v>29</v>
      </c>
      <c r="F79" s="12" t="n">
        <v>79.31</v>
      </c>
    </row>
    <row r="80">
      <c r="A80" s="8" t="inlineStr">
        <is>
          <t>CUNHA</t>
        </is>
      </c>
      <c r="B80" s="8" t="inlineStr">
        <is>
          <t>GnG Amazigh</t>
        </is>
      </c>
      <c r="C80" s="8" t="inlineStr">
        <is>
          <t>Omen</t>
        </is>
      </c>
      <c r="D80" s="8" t="n">
        <v>260</v>
      </c>
      <c r="E80" s="8" t="n">
        <v>33</v>
      </c>
      <c r="F80" s="8" t="n">
        <v>787.88</v>
      </c>
    </row>
    <row r="81">
      <c r="A81" s="12" t="inlineStr">
        <is>
          <t>CUNHA</t>
        </is>
      </c>
      <c r="B81" s="12" t="inlineStr">
        <is>
          <t>GnG Amazigh</t>
        </is>
      </c>
      <c r="C81" s="12" t="inlineStr">
        <is>
          <t>Astra</t>
        </is>
      </c>
      <c r="D81" s="12" t="n">
        <v>228</v>
      </c>
      <c r="E81" s="12" t="n">
        <v>33</v>
      </c>
      <c r="F81" s="12" t="n">
        <v>690.91</v>
      </c>
    </row>
    <row r="82">
      <c r="A82" s="8" t="inlineStr">
        <is>
          <t>CUNHA</t>
        </is>
      </c>
      <c r="B82" s="8" t="inlineStr">
        <is>
          <t>GnG Amazigh</t>
        </is>
      </c>
      <c r="C82" s="8" t="inlineStr">
        <is>
          <t>Brimstone</t>
        </is>
      </c>
      <c r="D82" s="8" t="n">
        <v>180</v>
      </c>
      <c r="E82" s="8" t="n">
        <v>33</v>
      </c>
      <c r="F82" s="8" t="n">
        <v>545.45</v>
      </c>
    </row>
    <row r="83">
      <c r="A83" s="12" t="inlineStr">
        <is>
          <t>CUNHA</t>
        </is>
      </c>
      <c r="B83" s="12" t="inlineStr">
        <is>
          <t>GnG Amazigh</t>
        </is>
      </c>
      <c r="C83" s="12" t="inlineStr">
        <is>
          <t>Waylay</t>
        </is>
      </c>
      <c r="D83" s="12" t="n">
        <v>24</v>
      </c>
      <c r="E83" s="12" t="n">
        <v>33</v>
      </c>
      <c r="F83" s="12" t="n">
        <v>72.73</v>
      </c>
    </row>
    <row r="84">
      <c r="A84" s="8" t="inlineStr">
        <is>
          <t>CUNHA</t>
        </is>
      </c>
      <c r="B84" s="8" t="inlineStr">
        <is>
          <t>GnG Amazigh</t>
        </is>
      </c>
      <c r="C84" s="8" t="inlineStr">
        <is>
          <t>Neon</t>
        </is>
      </c>
      <c r="D84" s="8" t="n">
        <v>22</v>
      </c>
      <c r="E84" s="8" t="n">
        <v>33</v>
      </c>
      <c r="F84" s="8" t="n">
        <v>66.67</v>
      </c>
    </row>
    <row r="85">
      <c r="A85" s="12" t="inlineStr">
        <is>
          <t>Kamyk</t>
        </is>
      </c>
      <c r="B85" s="12" t="inlineStr">
        <is>
          <t>Joblife</t>
        </is>
      </c>
      <c r="C85" s="12" t="inlineStr">
        <is>
          <t>Astra</t>
        </is>
      </c>
      <c r="D85" s="12" t="n">
        <v>259</v>
      </c>
      <c r="E85" s="12" t="n">
        <v>33</v>
      </c>
      <c r="F85" s="12" t="n">
        <v>784.85</v>
      </c>
    </row>
    <row r="86">
      <c r="A86" s="8" t="inlineStr">
        <is>
          <t>Kamyk</t>
        </is>
      </c>
      <c r="B86" s="8" t="inlineStr">
        <is>
          <t>Joblife</t>
        </is>
      </c>
      <c r="C86" s="8" t="inlineStr">
        <is>
          <t>Omen</t>
        </is>
      </c>
      <c r="D86" s="8" t="n">
        <v>256</v>
      </c>
      <c r="E86" s="8" t="n">
        <v>33</v>
      </c>
      <c r="F86" s="8" t="n">
        <v>775.76</v>
      </c>
    </row>
    <row r="87">
      <c r="A87" s="12" t="inlineStr">
        <is>
          <t>Kamyk</t>
        </is>
      </c>
      <c r="B87" s="12" t="inlineStr">
        <is>
          <t>Joblife</t>
        </is>
      </c>
      <c r="C87" s="12" t="inlineStr">
        <is>
          <t>Brimstone</t>
        </is>
      </c>
      <c r="D87" s="12" t="n">
        <v>118</v>
      </c>
      <c r="E87" s="12" t="n">
        <v>33</v>
      </c>
      <c r="F87" s="12" t="n">
        <v>357.58</v>
      </c>
    </row>
    <row r="88">
      <c r="A88" s="8" t="inlineStr">
        <is>
          <t>Kamyk</t>
        </is>
      </c>
      <c r="B88" s="8" t="inlineStr">
        <is>
          <t>Joblife</t>
        </is>
      </c>
      <c r="C88" s="8" t="inlineStr">
        <is>
          <t>Sage</t>
        </is>
      </c>
      <c r="D88" s="8" t="n">
        <v>26</v>
      </c>
      <c r="E88" s="8" t="n">
        <v>33</v>
      </c>
      <c r="F88" s="8" t="n">
        <v>78.79000000000001</v>
      </c>
    </row>
    <row r="89">
      <c r="A89" s="12" t="inlineStr">
        <is>
          <t>Kamyk</t>
        </is>
      </c>
      <c r="B89" s="12" t="inlineStr">
        <is>
          <t>Joblife</t>
        </is>
      </c>
      <c r="C89" s="12" t="inlineStr">
        <is>
          <t>Viper</t>
        </is>
      </c>
      <c r="D89" s="12" t="n">
        <v>24</v>
      </c>
      <c r="E89" s="12" t="n">
        <v>33</v>
      </c>
      <c r="F89" s="12" t="n">
        <v>72.73</v>
      </c>
    </row>
    <row r="90">
      <c r="A90" s="8" t="inlineStr">
        <is>
          <t>Chiwa</t>
        </is>
      </c>
      <c r="B90" s="8" t="inlineStr">
        <is>
          <t>Joblife</t>
        </is>
      </c>
      <c r="C90" s="8" t="inlineStr">
        <is>
          <t>Viper</t>
        </is>
      </c>
      <c r="D90" s="8" t="n">
        <v>256</v>
      </c>
      <c r="E90" s="8" t="n">
        <v>33</v>
      </c>
      <c r="F90" s="8" t="n">
        <v>775.76</v>
      </c>
    </row>
    <row r="91">
      <c r="A91" s="12" t="inlineStr">
        <is>
          <t>Chiwa</t>
        </is>
      </c>
      <c r="B91" s="12" t="inlineStr">
        <is>
          <t>Joblife</t>
        </is>
      </c>
      <c r="C91" s="12" t="inlineStr">
        <is>
          <t>Cypher</t>
        </is>
      </c>
      <c r="D91" s="12" t="n">
        <v>228</v>
      </c>
      <c r="E91" s="12" t="n">
        <v>33</v>
      </c>
      <c r="F91" s="12" t="n">
        <v>690.91</v>
      </c>
    </row>
    <row r="92">
      <c r="A92" s="8" t="inlineStr">
        <is>
          <t>Chiwa</t>
        </is>
      </c>
      <c r="B92" s="8" t="inlineStr">
        <is>
          <t>Joblife</t>
        </is>
      </c>
      <c r="C92" s="8" t="inlineStr">
        <is>
          <t>Veto</t>
        </is>
      </c>
      <c r="D92" s="8" t="n">
        <v>149</v>
      </c>
      <c r="E92" s="8" t="n">
        <v>33</v>
      </c>
      <c r="F92" s="8" t="n">
        <v>451.52</v>
      </c>
    </row>
    <row r="93">
      <c r="A93" s="12" t="inlineStr">
        <is>
          <t>Chiwa</t>
        </is>
      </c>
      <c r="B93" s="12" t="inlineStr">
        <is>
          <t>Joblife</t>
        </is>
      </c>
      <c r="C93" s="12" t="inlineStr">
        <is>
          <t>Iso</t>
        </is>
      </c>
      <c r="D93" s="12" t="n">
        <v>26</v>
      </c>
      <c r="E93" s="12" t="n">
        <v>33</v>
      </c>
      <c r="F93" s="12" t="n">
        <v>78.79000000000001</v>
      </c>
    </row>
    <row r="94">
      <c r="A94" s="8" t="inlineStr">
        <is>
          <t>Chiwa</t>
        </is>
      </c>
      <c r="B94" s="8" t="inlineStr">
        <is>
          <t>Joblife</t>
        </is>
      </c>
      <c r="C94" s="8" t="inlineStr">
        <is>
          <t>Brimstone</t>
        </is>
      </c>
      <c r="D94" s="8" t="n">
        <v>24</v>
      </c>
      <c r="E94" s="8" t="n">
        <v>33</v>
      </c>
      <c r="F94" s="8" t="n">
        <v>72.73</v>
      </c>
    </row>
    <row r="95">
      <c r="A95" s="12" t="inlineStr">
        <is>
          <t>Guardy</t>
        </is>
      </c>
      <c r="B95" s="12" t="inlineStr">
        <is>
          <t>Barça eSports</t>
        </is>
      </c>
      <c r="C95" s="12" t="inlineStr">
        <is>
          <t>Viper</t>
        </is>
      </c>
      <c r="D95" s="12" t="n">
        <v>254</v>
      </c>
      <c r="E95" s="12" t="n">
        <v>30</v>
      </c>
      <c r="F95" s="12" t="n">
        <v>846.67</v>
      </c>
    </row>
    <row r="96">
      <c r="A96" s="8" t="inlineStr">
        <is>
          <t>Guardy</t>
        </is>
      </c>
      <c r="B96" s="8" t="inlineStr">
        <is>
          <t>Barça eSports</t>
        </is>
      </c>
      <c r="C96" s="8" t="inlineStr">
        <is>
          <t>Tejo</t>
        </is>
      </c>
      <c r="D96" s="8" t="n">
        <v>175</v>
      </c>
      <c r="E96" s="8" t="n">
        <v>30</v>
      </c>
      <c r="F96" s="8" t="n">
        <v>583.33</v>
      </c>
    </row>
    <row r="97">
      <c r="A97" s="12" t="inlineStr">
        <is>
          <t>Guardy</t>
        </is>
      </c>
      <c r="B97" s="12" t="inlineStr">
        <is>
          <t>Barça eSports</t>
        </is>
      </c>
      <c r="C97" s="12" t="inlineStr">
        <is>
          <t>Skye</t>
        </is>
      </c>
      <c r="D97" s="12" t="n">
        <v>115</v>
      </c>
      <c r="E97" s="12" t="n">
        <v>30</v>
      </c>
      <c r="F97" s="12" t="n">
        <v>383.33</v>
      </c>
    </row>
    <row r="98">
      <c r="A98" s="8" t="inlineStr">
        <is>
          <t>Guardy</t>
        </is>
      </c>
      <c r="B98" s="8" t="inlineStr">
        <is>
          <t>Barça eSports</t>
        </is>
      </c>
      <c r="C98" s="8" t="inlineStr">
        <is>
          <t>Breach</t>
        </is>
      </c>
      <c r="D98" s="8" t="n">
        <v>69</v>
      </c>
      <c r="E98" s="8" t="n">
        <v>30</v>
      </c>
      <c r="F98" s="8" t="n">
        <v>230</v>
      </c>
    </row>
    <row r="99">
      <c r="A99" s="12" t="inlineStr">
        <is>
          <t>Guardy</t>
        </is>
      </c>
      <c r="B99" s="12" t="inlineStr">
        <is>
          <t>Barça eSports</t>
        </is>
      </c>
      <c r="C99" s="12" t="inlineStr">
        <is>
          <t>Veto</t>
        </is>
      </c>
      <c r="D99" s="12" t="n">
        <v>24</v>
      </c>
      <c r="E99" s="12" t="n">
        <v>30</v>
      </c>
      <c r="F99" s="12" t="n">
        <v>80</v>
      </c>
    </row>
    <row r="100">
      <c r="A100" s="8" t="inlineStr">
        <is>
          <t>Kicks</t>
        </is>
      </c>
      <c r="B100" s="8" t="inlineStr">
        <is>
          <t>Team Liquid Academy</t>
        </is>
      </c>
      <c r="C100" s="8" t="inlineStr">
        <is>
          <t>Fade</t>
        </is>
      </c>
      <c r="D100" s="8" t="n">
        <v>471</v>
      </c>
      <c r="E100" s="8" t="n">
        <v>32</v>
      </c>
      <c r="F100" s="8" t="n">
        <v>1471.88</v>
      </c>
    </row>
    <row r="101">
      <c r="A101" s="12" t="inlineStr">
        <is>
          <t>Kicks</t>
        </is>
      </c>
      <c r="B101" s="12" t="inlineStr">
        <is>
          <t>Team Liquid Academy</t>
        </is>
      </c>
      <c r="C101" s="12" t="inlineStr">
        <is>
          <t>Sova</t>
        </is>
      </c>
      <c r="D101" s="12" t="n">
        <v>76</v>
      </c>
      <c r="E101" s="12" t="n">
        <v>32</v>
      </c>
      <c r="F101" s="12" t="n">
        <v>237.5</v>
      </c>
    </row>
    <row r="102">
      <c r="A102" s="8" t="inlineStr">
        <is>
          <t>Kicks</t>
        </is>
      </c>
      <c r="B102" s="8" t="inlineStr">
        <is>
          <t>Team Liquid Academy</t>
        </is>
      </c>
      <c r="C102" s="8" t="inlineStr">
        <is>
          <t>Astra</t>
        </is>
      </c>
      <c r="D102" s="8" t="n">
        <v>46</v>
      </c>
      <c r="E102" s="8" t="n">
        <v>32</v>
      </c>
      <c r="F102" s="8" t="n">
        <v>143.75</v>
      </c>
    </row>
    <row r="103">
      <c r="A103" s="12" t="inlineStr">
        <is>
          <t>Kicks</t>
        </is>
      </c>
      <c r="B103" s="12" t="inlineStr">
        <is>
          <t>Team Liquid Academy</t>
        </is>
      </c>
      <c r="C103" s="12" t="inlineStr">
        <is>
          <t>Brimstone</t>
        </is>
      </c>
      <c r="D103" s="12" t="n">
        <v>26</v>
      </c>
      <c r="E103" s="12" t="n">
        <v>32</v>
      </c>
      <c r="F103" s="12" t="n">
        <v>81.25</v>
      </c>
    </row>
    <row r="104">
      <c r="A104" s="8" t="inlineStr">
        <is>
          <t>Kicks</t>
        </is>
      </c>
      <c r="B104" s="8" t="inlineStr">
        <is>
          <t>Team Liquid Academy</t>
        </is>
      </c>
      <c r="C104" s="8" t="inlineStr">
        <is>
          <t>Tejo</t>
        </is>
      </c>
      <c r="D104" s="8" t="n">
        <v>22</v>
      </c>
      <c r="E104" s="8" t="n">
        <v>32</v>
      </c>
      <c r="F104" s="8" t="n">
        <v>68.75</v>
      </c>
    </row>
    <row r="105">
      <c r="A105" s="12" t="inlineStr">
        <is>
          <t>Kicks</t>
        </is>
      </c>
      <c r="B105" s="12" t="inlineStr">
        <is>
          <t>Team Liquid Academy</t>
        </is>
      </c>
      <c r="C105" s="12" t="inlineStr">
        <is>
          <t>Omen</t>
        </is>
      </c>
      <c r="D105" s="12" t="n">
        <v>22</v>
      </c>
      <c r="E105" s="12" t="n">
        <v>32</v>
      </c>
      <c r="F105" s="12" t="n">
        <v>68.75</v>
      </c>
    </row>
    <row r="106">
      <c r="A106" s="8" t="inlineStr">
        <is>
          <t>Doma</t>
        </is>
      </c>
      <c r="B106" s="8" t="inlineStr">
        <is>
          <t>Joblife</t>
        </is>
      </c>
      <c r="C106" s="8" t="inlineStr">
        <is>
          <t>Yoru</t>
        </is>
      </c>
      <c r="D106" s="8" t="n">
        <v>426</v>
      </c>
      <c r="E106" s="8" t="n">
        <v>33</v>
      </c>
      <c r="F106" s="8" t="n">
        <v>1290.91</v>
      </c>
    </row>
    <row r="107">
      <c r="A107" s="12" t="inlineStr">
        <is>
          <t>Doma</t>
        </is>
      </c>
      <c r="B107" s="12" t="inlineStr">
        <is>
          <t>Joblife</t>
        </is>
      </c>
      <c r="C107" s="12" t="inlineStr">
        <is>
          <t>KAY/O</t>
        </is>
      </c>
      <c r="D107" s="12" t="n">
        <v>151</v>
      </c>
      <c r="E107" s="12" t="n">
        <v>33</v>
      </c>
      <c r="F107" s="12" t="n">
        <v>457.58</v>
      </c>
    </row>
    <row r="108">
      <c r="A108" s="8" t="inlineStr">
        <is>
          <t>Doma</t>
        </is>
      </c>
      <c r="B108" s="8" t="inlineStr">
        <is>
          <t>Joblife</t>
        </is>
      </c>
      <c r="C108" s="8" t="inlineStr">
        <is>
          <t>Phoenix</t>
        </is>
      </c>
      <c r="D108" s="8" t="n">
        <v>64</v>
      </c>
      <c r="E108" s="8" t="n">
        <v>33</v>
      </c>
      <c r="F108" s="8" t="n">
        <v>193.94</v>
      </c>
    </row>
    <row r="109">
      <c r="A109" s="12" t="inlineStr">
        <is>
          <t>Doma</t>
        </is>
      </c>
      <c r="B109" s="12" t="inlineStr">
        <is>
          <t>Joblife</t>
        </is>
      </c>
      <c r="C109" s="12" t="inlineStr">
        <is>
          <t>Chamber</t>
        </is>
      </c>
      <c r="D109" s="12" t="n">
        <v>26</v>
      </c>
      <c r="E109" s="12" t="n">
        <v>33</v>
      </c>
      <c r="F109" s="12" t="n">
        <v>78.79000000000001</v>
      </c>
    </row>
    <row r="110">
      <c r="A110" s="8" t="inlineStr">
        <is>
          <t>Doma</t>
        </is>
      </c>
      <c r="B110" s="8" t="inlineStr">
        <is>
          <t>Joblife</t>
        </is>
      </c>
      <c r="C110" s="8" t="inlineStr">
        <is>
          <t>Raze</t>
        </is>
      </c>
      <c r="D110" s="8" t="n">
        <v>16</v>
      </c>
      <c r="E110" s="8" t="n">
        <v>33</v>
      </c>
      <c r="F110" s="8" t="n">
        <v>48.48</v>
      </c>
    </row>
    <row r="111">
      <c r="A111" s="12" t="inlineStr">
        <is>
          <t>LOOP</t>
        </is>
      </c>
      <c r="B111" s="12" t="inlineStr">
        <is>
          <t>GnG Amazigh</t>
        </is>
      </c>
      <c r="C111" s="12" t="inlineStr">
        <is>
          <t>Sova</t>
        </is>
      </c>
      <c r="D111" s="12" t="n">
        <v>384</v>
      </c>
      <c r="E111" s="12" t="n">
        <v>34</v>
      </c>
      <c r="F111" s="12" t="n">
        <v>1129.41</v>
      </c>
    </row>
    <row r="112">
      <c r="A112" s="8" t="inlineStr">
        <is>
          <t>LOOP</t>
        </is>
      </c>
      <c r="B112" s="8" t="inlineStr">
        <is>
          <t>GnG Amazigh</t>
        </is>
      </c>
      <c r="C112" s="8" t="inlineStr">
        <is>
          <t>Fade</t>
        </is>
      </c>
      <c r="D112" s="8" t="n">
        <v>132</v>
      </c>
      <c r="E112" s="8" t="n">
        <v>34</v>
      </c>
      <c r="F112" s="8" t="n">
        <v>388.24</v>
      </c>
    </row>
    <row r="113">
      <c r="A113" s="12" t="inlineStr">
        <is>
          <t>LOOP</t>
        </is>
      </c>
      <c r="B113" s="12" t="inlineStr">
        <is>
          <t>GnG Amazigh</t>
        </is>
      </c>
      <c r="C113" s="12" t="inlineStr">
        <is>
          <t>Tejo</t>
        </is>
      </c>
      <c r="D113" s="12" t="n">
        <v>124</v>
      </c>
      <c r="E113" s="12" t="n">
        <v>34</v>
      </c>
      <c r="F113" s="12" t="n">
        <v>364.71</v>
      </c>
    </row>
    <row r="114">
      <c r="A114" s="8" t="inlineStr">
        <is>
          <t>LOOP</t>
        </is>
      </c>
      <c r="B114" s="8" t="inlineStr">
        <is>
          <t>GnG Amazigh</t>
        </is>
      </c>
      <c r="C114" s="8" t="inlineStr">
        <is>
          <t>Skye</t>
        </is>
      </c>
      <c r="D114" s="8" t="n">
        <v>52</v>
      </c>
      <c r="E114" s="8" t="n">
        <v>34</v>
      </c>
      <c r="F114" s="8" t="n">
        <v>152.94</v>
      </c>
    </row>
    <row r="115">
      <c r="A115" s="12" t="inlineStr">
        <is>
          <t>LOOP</t>
        </is>
      </c>
      <c r="B115" s="12" t="inlineStr">
        <is>
          <t>GnG Amazigh</t>
        </is>
      </c>
      <c r="C115" s="12" t="inlineStr">
        <is>
          <t>Astra</t>
        </is>
      </c>
      <c r="D115" s="12" t="n">
        <v>26</v>
      </c>
      <c r="E115" s="12" t="n">
        <v>34</v>
      </c>
      <c r="F115" s="12" t="n">
        <v>76.47</v>
      </c>
    </row>
    <row r="116">
      <c r="A116" s="8" t="inlineStr">
        <is>
          <t>LOOP</t>
        </is>
      </c>
      <c r="B116" s="8" t="inlineStr">
        <is>
          <t>GnG Amazigh</t>
        </is>
      </c>
      <c r="C116" s="8" t="inlineStr">
        <is>
          <t>Waylay</t>
        </is>
      </c>
      <c r="D116" s="8" t="n">
        <v>22</v>
      </c>
      <c r="E116" s="8" t="n">
        <v>34</v>
      </c>
      <c r="F116" s="8" t="n">
        <v>64.70999999999999</v>
      </c>
    </row>
    <row r="117">
      <c r="A117" s="12" t="inlineStr">
        <is>
          <t>MonOkson</t>
        </is>
      </c>
      <c r="B117" s="12" t="inlineStr">
        <is>
          <t>GnG Amazigh</t>
        </is>
      </c>
      <c r="C117" s="12" t="inlineStr">
        <is>
          <t>Viper</t>
        </is>
      </c>
      <c r="D117" s="12" t="n">
        <v>330</v>
      </c>
      <c r="E117" s="12" t="n">
        <v>32</v>
      </c>
      <c r="F117" s="12" t="n">
        <v>1031.25</v>
      </c>
    </row>
    <row r="118">
      <c r="A118" s="8" t="inlineStr">
        <is>
          <t>MonOkson</t>
        </is>
      </c>
      <c r="B118" s="8" t="inlineStr">
        <is>
          <t>GnG Amazigh</t>
        </is>
      </c>
      <c r="C118" s="8" t="inlineStr">
        <is>
          <t>Killjoy</t>
        </is>
      </c>
      <c r="D118" s="8" t="n">
        <v>239</v>
      </c>
      <c r="E118" s="8" t="n">
        <v>32</v>
      </c>
      <c r="F118" s="8" t="n">
        <v>746.88</v>
      </c>
    </row>
    <row r="119">
      <c r="A119" s="12" t="inlineStr">
        <is>
          <t>MonOkson</t>
        </is>
      </c>
      <c r="B119" s="12" t="inlineStr">
        <is>
          <t>GnG Amazigh</t>
        </is>
      </c>
      <c r="C119" s="12" t="inlineStr">
        <is>
          <t>KAY/O</t>
        </is>
      </c>
      <c r="D119" s="12" t="n">
        <v>44</v>
      </c>
      <c r="E119" s="12" t="n">
        <v>32</v>
      </c>
      <c r="F119" s="12" t="n">
        <v>137.5</v>
      </c>
    </row>
    <row r="120">
      <c r="A120" s="8" t="inlineStr">
        <is>
          <t>MonOkson</t>
        </is>
      </c>
      <c r="B120" s="8" t="inlineStr">
        <is>
          <t>GnG Amazigh</t>
        </is>
      </c>
      <c r="C120" s="8" t="inlineStr">
        <is>
          <t>Iso</t>
        </is>
      </c>
      <c r="D120" s="8" t="n">
        <v>22</v>
      </c>
      <c r="E120" s="8" t="n">
        <v>32</v>
      </c>
      <c r="F120" s="8" t="n">
        <v>68.75</v>
      </c>
    </row>
    <row r="121">
      <c r="A121" s="12" t="inlineStr">
        <is>
          <t>MonOkson</t>
        </is>
      </c>
      <c r="B121" s="12" t="inlineStr">
        <is>
          <t>GnG Amazigh</t>
        </is>
      </c>
      <c r="C121" s="12" t="inlineStr">
        <is>
          <t>Vyse</t>
        </is>
      </c>
      <c r="D121" s="12" t="n">
        <v>21</v>
      </c>
      <c r="E121" s="12" t="n">
        <v>32</v>
      </c>
      <c r="F121" s="12" t="n">
        <v>65.62</v>
      </c>
    </row>
    <row r="122">
      <c r="A122" s="8" t="inlineStr">
        <is>
          <t>MonOkson</t>
        </is>
      </c>
      <c r="B122" s="8" t="inlineStr">
        <is>
          <t>GnG Amazigh</t>
        </is>
      </c>
      <c r="C122" s="8" t="inlineStr">
        <is>
          <t>Omen</t>
        </is>
      </c>
      <c r="D122" s="8" t="n">
        <v>19</v>
      </c>
      <c r="E122" s="8" t="n">
        <v>32</v>
      </c>
      <c r="F122" s="8" t="n">
        <v>59.38</v>
      </c>
    </row>
    <row r="123">
      <c r="A123" s="12" t="inlineStr">
        <is>
          <t>MonOkson</t>
        </is>
      </c>
      <c r="B123" s="12" t="inlineStr">
        <is>
          <t>GnG Amazigh</t>
        </is>
      </c>
      <c r="C123" s="12" t="inlineStr">
        <is>
          <t>Breach</t>
        </is>
      </c>
      <c r="D123" s="12" t="n">
        <v>15</v>
      </c>
      <c r="E123" s="12" t="n">
        <v>32</v>
      </c>
      <c r="F123" s="12" t="n">
        <v>46.88</v>
      </c>
    </row>
    <row r="124">
      <c r="A124" s="8" t="inlineStr">
        <is>
          <t>Runner</t>
        </is>
      </c>
      <c r="B124" s="8" t="inlineStr">
        <is>
          <t>Joblife</t>
        </is>
      </c>
      <c r="C124" s="8" t="inlineStr">
        <is>
          <t>Waylay</t>
        </is>
      </c>
      <c r="D124" s="8" t="n">
        <v>509</v>
      </c>
      <c r="E124" s="8" t="n">
        <v>33</v>
      </c>
      <c r="F124" s="8" t="n">
        <v>1542.42</v>
      </c>
    </row>
    <row r="125">
      <c r="A125" s="12" t="inlineStr">
        <is>
          <t>Runner</t>
        </is>
      </c>
      <c r="B125" s="12" t="inlineStr">
        <is>
          <t>Joblife</t>
        </is>
      </c>
      <c r="C125" s="12" t="inlineStr">
        <is>
          <t>Neon</t>
        </is>
      </c>
      <c r="D125" s="12" t="n">
        <v>104</v>
      </c>
      <c r="E125" s="12" t="n">
        <v>33</v>
      </c>
      <c r="F125" s="12" t="n">
        <v>315.15</v>
      </c>
    </row>
    <row r="126">
      <c r="A126" s="8" t="inlineStr">
        <is>
          <t>Runner</t>
        </is>
      </c>
      <c r="B126" s="8" t="inlineStr">
        <is>
          <t>Joblife</t>
        </is>
      </c>
      <c r="C126" s="8" t="inlineStr">
        <is>
          <t>Jett</t>
        </is>
      </c>
      <c r="D126" s="8" t="n">
        <v>70</v>
      </c>
      <c r="E126" s="8" t="n">
        <v>33</v>
      </c>
      <c r="F126" s="8" t="n">
        <v>212.12</v>
      </c>
    </row>
    <row r="127">
      <c r="A127" s="12" t="inlineStr">
        <is>
          <t>Koji</t>
        </is>
      </c>
      <c r="B127" s="12" t="inlineStr">
        <is>
          <t>Stallions Esports</t>
        </is>
      </c>
      <c r="C127" s="12" t="inlineStr">
        <is>
          <t>Viper</t>
        </is>
      </c>
      <c r="D127" s="12" t="n">
        <v>314</v>
      </c>
      <c r="E127" s="12" t="n">
        <v>31</v>
      </c>
      <c r="F127" s="12" t="n">
        <v>1012.9</v>
      </c>
    </row>
    <row r="128">
      <c r="A128" s="8" t="inlineStr">
        <is>
          <t>Koji</t>
        </is>
      </c>
      <c r="B128" s="8" t="inlineStr">
        <is>
          <t>Stallions Esports</t>
        </is>
      </c>
      <c r="C128" s="8" t="inlineStr">
        <is>
          <t>Vyse</t>
        </is>
      </c>
      <c r="D128" s="8" t="n">
        <v>160</v>
      </c>
      <c r="E128" s="8" t="n">
        <v>31</v>
      </c>
      <c r="F128" s="8" t="n">
        <v>516.13</v>
      </c>
    </row>
    <row r="129">
      <c r="A129" s="12" t="inlineStr">
        <is>
          <t>Koji</t>
        </is>
      </c>
      <c r="B129" s="12" t="inlineStr">
        <is>
          <t>Stallions Esports</t>
        </is>
      </c>
      <c r="C129" s="12" t="inlineStr">
        <is>
          <t>Cypher</t>
        </is>
      </c>
      <c r="D129" s="12" t="n">
        <v>114</v>
      </c>
      <c r="E129" s="12" t="n">
        <v>31</v>
      </c>
      <c r="F129" s="12" t="n">
        <v>367.74</v>
      </c>
    </row>
    <row r="130">
      <c r="A130" s="8" t="inlineStr">
        <is>
          <t>Koji</t>
        </is>
      </c>
      <c r="B130" s="8" t="inlineStr">
        <is>
          <t>Stallions Esports</t>
        </is>
      </c>
      <c r="C130" s="8" t="inlineStr">
        <is>
          <t>Chamber</t>
        </is>
      </c>
      <c r="D130" s="8" t="n">
        <v>26</v>
      </c>
      <c r="E130" s="8" t="n">
        <v>31</v>
      </c>
      <c r="F130" s="8" t="n">
        <v>83.87</v>
      </c>
    </row>
    <row r="131">
      <c r="A131" s="12" t="inlineStr">
        <is>
          <t>Koji</t>
        </is>
      </c>
      <c r="B131" s="12" t="inlineStr">
        <is>
          <t>Stallions Esports</t>
        </is>
      </c>
      <c r="C131" s="12" t="inlineStr">
        <is>
          <t>Reyna</t>
        </is>
      </c>
      <c r="D131" s="12" t="n">
        <v>14</v>
      </c>
      <c r="E131" s="12" t="n">
        <v>31</v>
      </c>
      <c r="F131" s="12" t="n">
        <v>45.16</v>
      </c>
    </row>
    <row r="132">
      <c r="A132" s="8" t="inlineStr">
        <is>
          <t>Koji</t>
        </is>
      </c>
      <c r="B132" s="8" t="inlineStr">
        <is>
          <t>Stallions Esports</t>
        </is>
      </c>
      <c r="C132" s="8" t="inlineStr">
        <is>
          <t>Jett</t>
        </is>
      </c>
      <c r="D132" s="8" t="n">
        <v>13</v>
      </c>
      <c r="E132" s="8" t="n">
        <v>31</v>
      </c>
      <c r="F132" s="8" t="n">
        <v>41.94</v>
      </c>
    </row>
    <row r="133">
      <c r="A133" s="12" t="inlineStr">
        <is>
          <t>Stonezy</t>
        </is>
      </c>
      <c r="B133" s="12" t="inlineStr">
        <is>
          <t>Barça eSports</t>
        </is>
      </c>
      <c r="C133" s="12" t="inlineStr">
        <is>
          <t>Viper</t>
        </is>
      </c>
      <c r="D133" s="12" t="n">
        <v>229</v>
      </c>
      <c r="E133" s="12" t="n">
        <v>30</v>
      </c>
      <c r="F133" s="12" t="n">
        <v>763.33</v>
      </c>
    </row>
    <row r="134">
      <c r="A134" s="8" t="inlineStr">
        <is>
          <t>Stonezy</t>
        </is>
      </c>
      <c r="B134" s="8" t="inlineStr">
        <is>
          <t>Barça eSports</t>
        </is>
      </c>
      <c r="C134" s="8" t="inlineStr">
        <is>
          <t>Killjoy</t>
        </is>
      </c>
      <c r="D134" s="8" t="n">
        <v>216</v>
      </c>
      <c r="E134" s="8" t="n">
        <v>30</v>
      </c>
      <c r="F134" s="8" t="n">
        <v>720</v>
      </c>
    </row>
    <row r="135">
      <c r="A135" s="12" t="inlineStr">
        <is>
          <t>Stonezy</t>
        </is>
      </c>
      <c r="B135" s="12" t="inlineStr">
        <is>
          <t>Barça eSports</t>
        </is>
      </c>
      <c r="C135" s="12" t="inlineStr">
        <is>
          <t>Yoru</t>
        </is>
      </c>
      <c r="D135" s="12" t="n">
        <v>170</v>
      </c>
      <c r="E135" s="12" t="n">
        <v>30</v>
      </c>
      <c r="F135" s="12" t="n">
        <v>566.67</v>
      </c>
    </row>
    <row r="136">
      <c r="A136" s="8" t="inlineStr">
        <is>
          <t>Stonezy</t>
        </is>
      </c>
      <c r="B136" s="8" t="inlineStr">
        <is>
          <t>Barça eSports</t>
        </is>
      </c>
      <c r="C136" s="8" t="inlineStr">
        <is>
          <t>Waylay</t>
        </is>
      </c>
      <c r="D136" s="8" t="n">
        <v>22</v>
      </c>
      <c r="E136" s="8" t="n">
        <v>30</v>
      </c>
      <c r="F136" s="8" t="n">
        <v>73.33</v>
      </c>
    </row>
    <row r="137">
      <c r="A137" s="12" t="inlineStr">
        <is>
          <t>Deadink</t>
        </is>
      </c>
      <c r="B137" s="12" t="inlineStr">
        <is>
          <t>S2G Esports</t>
        </is>
      </c>
      <c r="C137" s="12" t="inlineStr">
        <is>
          <t>Waylay</t>
        </is>
      </c>
      <c r="D137" s="12" t="n">
        <v>339</v>
      </c>
      <c r="E137" s="12" t="n">
        <v>29</v>
      </c>
      <c r="F137" s="12" t="n">
        <v>1168.97</v>
      </c>
    </row>
    <row r="138">
      <c r="A138" s="8" t="inlineStr">
        <is>
          <t>Deadink</t>
        </is>
      </c>
      <c r="B138" s="8" t="inlineStr">
        <is>
          <t>S2G Esports</t>
        </is>
      </c>
      <c r="C138" s="8" t="inlineStr">
        <is>
          <t>Neon</t>
        </is>
      </c>
      <c r="D138" s="8" t="n">
        <v>252</v>
      </c>
      <c r="E138" s="8" t="n">
        <v>29</v>
      </c>
      <c r="F138" s="8" t="n">
        <v>868.97</v>
      </c>
    </row>
    <row r="139">
      <c r="A139" s="12" t="inlineStr">
        <is>
          <t>Deadink</t>
        </is>
      </c>
      <c r="B139" s="12" t="inlineStr">
        <is>
          <t>S2G Esports</t>
        </is>
      </c>
      <c r="C139" s="12" t="inlineStr">
        <is>
          <t>Yoru</t>
        </is>
      </c>
      <c r="D139" s="12" t="n">
        <v>50</v>
      </c>
      <c r="E139" s="12" t="n">
        <v>29</v>
      </c>
      <c r="F139" s="12" t="n">
        <v>172.41</v>
      </c>
    </row>
    <row r="140">
      <c r="A140" s="8" t="inlineStr">
        <is>
          <t>Takaas</t>
        </is>
      </c>
      <c r="B140" s="8" t="inlineStr">
        <is>
          <t>Mandatory</t>
        </is>
      </c>
      <c r="C140" s="8" t="inlineStr">
        <is>
          <t>Waylay</t>
        </is>
      </c>
      <c r="D140" s="8" t="n">
        <v>294</v>
      </c>
      <c r="E140" s="8" t="n">
        <v>30</v>
      </c>
      <c r="F140" s="8" t="n">
        <v>980</v>
      </c>
    </row>
    <row r="141">
      <c r="A141" s="12" t="inlineStr">
        <is>
          <t>Takaas</t>
        </is>
      </c>
      <c r="B141" s="12" t="inlineStr">
        <is>
          <t>Mandatory</t>
        </is>
      </c>
      <c r="C141" s="12" t="inlineStr">
        <is>
          <t>Neon</t>
        </is>
      </c>
      <c r="D141" s="12" t="n">
        <v>181</v>
      </c>
      <c r="E141" s="12" t="n">
        <v>30</v>
      </c>
      <c r="F141" s="12" t="n">
        <v>603.33</v>
      </c>
    </row>
    <row r="142">
      <c r="A142" s="8" t="inlineStr">
        <is>
          <t>Takaas</t>
        </is>
      </c>
      <c r="B142" s="8" t="inlineStr">
        <is>
          <t>Mandatory</t>
        </is>
      </c>
      <c r="C142" s="8" t="inlineStr">
        <is>
          <t>Jett</t>
        </is>
      </c>
      <c r="D142" s="8" t="n">
        <v>53</v>
      </c>
      <c r="E142" s="8" t="n">
        <v>30</v>
      </c>
      <c r="F142" s="8" t="n">
        <v>176.67</v>
      </c>
    </row>
    <row r="143">
      <c r="A143" s="12" t="inlineStr">
        <is>
          <t>Takaas</t>
        </is>
      </c>
      <c r="B143" s="12" t="inlineStr">
        <is>
          <t>Mandatory</t>
        </is>
      </c>
      <c r="C143" s="12" t="inlineStr">
        <is>
          <t>Yoru</t>
        </is>
      </c>
      <c r="D143" s="12" t="n">
        <v>38</v>
      </c>
      <c r="E143" s="12" t="n">
        <v>30</v>
      </c>
      <c r="F143" s="12" t="n">
        <v>126.67</v>
      </c>
    </row>
    <row r="144">
      <c r="A144" s="8" t="inlineStr">
        <is>
          <t>Takaas</t>
        </is>
      </c>
      <c r="B144" s="8" t="inlineStr">
        <is>
          <t>Mandatory</t>
        </is>
      </c>
      <c r="C144" s="8" t="inlineStr">
        <is>
          <t>Raze</t>
        </is>
      </c>
      <c r="D144" s="8" t="n">
        <v>24</v>
      </c>
      <c r="E144" s="8" t="n">
        <v>30</v>
      </c>
      <c r="F144" s="8" t="n">
        <v>80</v>
      </c>
    </row>
    <row r="145">
      <c r="A145" s="12" t="inlineStr">
        <is>
          <t>Sh1n</t>
        </is>
      </c>
      <c r="B145" s="12" t="inlineStr">
        <is>
          <t>Mandatory</t>
        </is>
      </c>
      <c r="C145" s="12" t="inlineStr">
        <is>
          <t>Omen</t>
        </is>
      </c>
      <c r="D145" s="12" t="n">
        <v>250</v>
      </c>
      <c r="E145" s="12" t="n">
        <v>30</v>
      </c>
      <c r="F145" s="12" t="n">
        <v>833.33</v>
      </c>
    </row>
    <row r="146">
      <c r="A146" s="8" t="inlineStr">
        <is>
          <t>Sh1n</t>
        </is>
      </c>
      <c r="B146" s="8" t="inlineStr">
        <is>
          <t>Mandatory</t>
        </is>
      </c>
      <c r="C146" s="8" t="inlineStr">
        <is>
          <t>Astra</t>
        </is>
      </c>
      <c r="D146" s="8" t="n">
        <v>159</v>
      </c>
      <c r="E146" s="8" t="n">
        <v>30</v>
      </c>
      <c r="F146" s="8" t="n">
        <v>530</v>
      </c>
    </row>
    <row r="147">
      <c r="A147" s="12" t="inlineStr">
        <is>
          <t>Sh1n</t>
        </is>
      </c>
      <c r="B147" s="12" t="inlineStr">
        <is>
          <t>Mandatory</t>
        </is>
      </c>
      <c r="C147" s="12" t="inlineStr">
        <is>
          <t>Viper</t>
        </is>
      </c>
      <c r="D147" s="12" t="n">
        <v>157</v>
      </c>
      <c r="E147" s="12" t="n">
        <v>30</v>
      </c>
      <c r="F147" s="12" t="n">
        <v>523.33</v>
      </c>
    </row>
    <row r="148">
      <c r="A148" s="8" t="inlineStr">
        <is>
          <t>Sh1n</t>
        </is>
      </c>
      <c r="B148" s="8" t="inlineStr">
        <is>
          <t>Mandatory</t>
        </is>
      </c>
      <c r="C148" s="8" t="inlineStr">
        <is>
          <t>Brimstone</t>
        </is>
      </c>
      <c r="D148" s="8" t="n">
        <v>24</v>
      </c>
      <c r="E148" s="8" t="n">
        <v>30</v>
      </c>
      <c r="F148" s="8" t="n">
        <v>80</v>
      </c>
    </row>
    <row r="149">
      <c r="A149" s="12" t="inlineStr">
        <is>
          <t>Akai</t>
        </is>
      </c>
      <c r="B149" s="12" t="inlineStr">
        <is>
          <t>Stallions Esports</t>
        </is>
      </c>
      <c r="C149" s="12" t="inlineStr">
        <is>
          <t>Raze</t>
        </is>
      </c>
      <c r="D149" s="12" t="n">
        <v>269</v>
      </c>
      <c r="E149" s="12" t="n">
        <v>28</v>
      </c>
      <c r="F149" s="12" t="n">
        <v>960.71</v>
      </c>
    </row>
    <row r="150">
      <c r="A150" s="8" t="inlineStr">
        <is>
          <t>Akai</t>
        </is>
      </c>
      <c r="B150" s="8" t="inlineStr">
        <is>
          <t>Stallions Esports</t>
        </is>
      </c>
      <c r="C150" s="8" t="inlineStr">
        <is>
          <t>Waylay</t>
        </is>
      </c>
      <c r="D150" s="8" t="n">
        <v>221</v>
      </c>
      <c r="E150" s="8" t="n">
        <v>28</v>
      </c>
      <c r="F150" s="8" t="n">
        <v>789.29</v>
      </c>
    </row>
    <row r="151">
      <c r="A151" s="12" t="inlineStr">
        <is>
          <t>Akai</t>
        </is>
      </c>
      <c r="B151" s="12" t="inlineStr">
        <is>
          <t>Stallions Esports</t>
        </is>
      </c>
      <c r="C151" s="12" t="inlineStr">
        <is>
          <t>Jett</t>
        </is>
      </c>
      <c r="D151" s="12" t="n">
        <v>45</v>
      </c>
      <c r="E151" s="12" t="n">
        <v>28</v>
      </c>
      <c r="F151" s="12" t="n">
        <v>160.71</v>
      </c>
    </row>
    <row r="152">
      <c r="A152" s="8" t="inlineStr">
        <is>
          <t>Akai</t>
        </is>
      </c>
      <c r="B152" s="8" t="inlineStr">
        <is>
          <t>Stallions Esports</t>
        </is>
      </c>
      <c r="C152" s="8" t="inlineStr">
        <is>
          <t>Neon</t>
        </is>
      </c>
      <c r="D152" s="8" t="n">
        <v>14</v>
      </c>
      <c r="E152" s="8" t="n">
        <v>28</v>
      </c>
      <c r="F152" s="8" t="n">
        <v>50</v>
      </c>
    </row>
    <row r="153">
      <c r="A153" s="12" t="inlineStr">
        <is>
          <t>Akai</t>
        </is>
      </c>
      <c r="B153" s="12" t="inlineStr">
        <is>
          <t>Stallions Esports</t>
        </is>
      </c>
      <c r="C153" s="12" t="inlineStr">
        <is>
          <t>Sage</t>
        </is>
      </c>
      <c r="D153" s="12" t="n">
        <v>14</v>
      </c>
      <c r="E153" s="12" t="n">
        <v>28</v>
      </c>
      <c r="F153" s="12" t="n">
        <v>50</v>
      </c>
    </row>
    <row r="154">
      <c r="A154" s="8" t="inlineStr">
        <is>
          <t>Akai</t>
        </is>
      </c>
      <c r="B154" s="8" t="inlineStr">
        <is>
          <t>Stallions Esports</t>
        </is>
      </c>
      <c r="C154" s="8" t="inlineStr">
        <is>
          <t>Yoru</t>
        </is>
      </c>
      <c r="D154" s="8" t="n">
        <v>13</v>
      </c>
      <c r="E154" s="8" t="n">
        <v>28</v>
      </c>
      <c r="F154" s="8" t="n">
        <v>46.43</v>
      </c>
    </row>
    <row r="155">
      <c r="A155" s="12" t="inlineStr">
        <is>
          <t>Sevire</t>
        </is>
      </c>
      <c r="B155" s="12" t="inlineStr">
        <is>
          <t>Mandatory</t>
        </is>
      </c>
      <c r="C155" s="12" t="inlineStr">
        <is>
          <t>Omen</t>
        </is>
      </c>
      <c r="D155" s="12" t="n">
        <v>157</v>
      </c>
      <c r="E155" s="12" t="n">
        <v>30</v>
      </c>
      <c r="F155" s="12" t="n">
        <v>523.33</v>
      </c>
    </row>
    <row r="156">
      <c r="A156" s="8" t="inlineStr">
        <is>
          <t>Sevire</t>
        </is>
      </c>
      <c r="B156" s="8" t="inlineStr">
        <is>
          <t>Mandatory</t>
        </is>
      </c>
      <c r="C156" s="8" t="inlineStr">
        <is>
          <t>Yoru</t>
        </is>
      </c>
      <c r="D156" s="8" t="n">
        <v>142</v>
      </c>
      <c r="E156" s="8" t="n">
        <v>30</v>
      </c>
      <c r="F156" s="8" t="n">
        <v>473.33</v>
      </c>
    </row>
    <row r="157">
      <c r="A157" s="12" t="inlineStr">
        <is>
          <t>Sevire</t>
        </is>
      </c>
      <c r="B157" s="12" t="inlineStr">
        <is>
          <t>Mandatory</t>
        </is>
      </c>
      <c r="C157" s="12" t="inlineStr">
        <is>
          <t>KAY/O</t>
        </is>
      </c>
      <c r="D157" s="12" t="n">
        <v>114</v>
      </c>
      <c r="E157" s="12" t="n">
        <v>30</v>
      </c>
      <c r="F157" s="12" t="n">
        <v>380</v>
      </c>
    </row>
    <row r="158">
      <c r="A158" s="8" t="inlineStr">
        <is>
          <t>Sevire</t>
        </is>
      </c>
      <c r="B158" s="8" t="inlineStr">
        <is>
          <t>Mandatory</t>
        </is>
      </c>
      <c r="C158" s="8" t="inlineStr">
        <is>
          <t>Tejo</t>
        </is>
      </c>
      <c r="D158" s="8" t="n">
        <v>97</v>
      </c>
      <c r="E158" s="8" t="n">
        <v>30</v>
      </c>
      <c r="F158" s="8" t="n">
        <v>323.33</v>
      </c>
    </row>
    <row r="159">
      <c r="A159" s="12" t="inlineStr">
        <is>
          <t>Sevire</t>
        </is>
      </c>
      <c r="B159" s="12" t="inlineStr">
        <is>
          <t>Mandatory</t>
        </is>
      </c>
      <c r="C159" s="12" t="inlineStr">
        <is>
          <t>Viper</t>
        </is>
      </c>
      <c r="D159" s="12" t="n">
        <v>24</v>
      </c>
      <c r="E159" s="12" t="n">
        <v>30</v>
      </c>
      <c r="F159" s="12" t="n">
        <v>80</v>
      </c>
    </row>
    <row r="160">
      <c r="A160" s="8" t="inlineStr">
        <is>
          <t>Sevire</t>
        </is>
      </c>
      <c r="B160" s="8" t="inlineStr">
        <is>
          <t>Mandatory</t>
        </is>
      </c>
      <c r="C160" s="8" t="inlineStr">
        <is>
          <t>Phoenix</t>
        </is>
      </c>
      <c r="D160" s="8" t="n">
        <v>19</v>
      </c>
      <c r="E160" s="8" t="n">
        <v>30</v>
      </c>
      <c r="F160" s="8" t="n">
        <v>63.33</v>
      </c>
    </row>
    <row r="161">
      <c r="A161" s="12" t="inlineStr">
        <is>
          <t>Sevire</t>
        </is>
      </c>
      <c r="B161" s="12" t="inlineStr">
        <is>
          <t>Mandatory</t>
        </is>
      </c>
      <c r="C161" s="12" t="inlineStr">
        <is>
          <t>Chamber</t>
        </is>
      </c>
      <c r="D161" s="12" t="n">
        <v>19</v>
      </c>
      <c r="E161" s="12" t="n">
        <v>30</v>
      </c>
      <c r="F161" s="12" t="n">
        <v>63.33</v>
      </c>
    </row>
    <row r="162">
      <c r="A162" s="8" t="inlineStr">
        <is>
          <t>Sevire</t>
        </is>
      </c>
      <c r="B162" s="8" t="inlineStr">
        <is>
          <t>Mandatory</t>
        </is>
      </c>
      <c r="C162" s="8" t="inlineStr">
        <is>
          <t>Skye</t>
        </is>
      </c>
      <c r="D162" s="8" t="n">
        <v>18</v>
      </c>
      <c r="E162" s="8" t="n">
        <v>30</v>
      </c>
      <c r="F162" s="8" t="n">
        <v>60</v>
      </c>
    </row>
    <row r="163">
      <c r="A163" s="12" t="inlineStr">
        <is>
          <t>reazy</t>
        </is>
      </c>
      <c r="B163" s="12" t="inlineStr">
        <is>
          <t>S2G Esports</t>
        </is>
      </c>
      <c r="C163" s="12" t="inlineStr">
        <is>
          <t>Viper</t>
        </is>
      </c>
      <c r="D163" s="12" t="n">
        <v>423</v>
      </c>
      <c r="E163" s="12" t="n">
        <v>29</v>
      </c>
      <c r="F163" s="12" t="n">
        <v>1458.62</v>
      </c>
    </row>
    <row r="164">
      <c r="A164" s="8" t="inlineStr">
        <is>
          <t>reazy</t>
        </is>
      </c>
      <c r="B164" s="8" t="inlineStr">
        <is>
          <t>S2G Esports</t>
        </is>
      </c>
      <c r="C164" s="8" t="inlineStr">
        <is>
          <t>Sova</t>
        </is>
      </c>
      <c r="D164" s="8" t="n">
        <v>87</v>
      </c>
      <c r="E164" s="8" t="n">
        <v>29</v>
      </c>
      <c r="F164" s="8" t="n">
        <v>300</v>
      </c>
    </row>
    <row r="165">
      <c r="A165" s="12" t="inlineStr">
        <is>
          <t>reazy</t>
        </is>
      </c>
      <c r="B165" s="12" t="inlineStr">
        <is>
          <t>S2G Esports</t>
        </is>
      </c>
      <c r="C165" s="12" t="inlineStr">
        <is>
          <t>Cypher</t>
        </is>
      </c>
      <c r="D165" s="12" t="n">
        <v>61</v>
      </c>
      <c r="E165" s="12" t="n">
        <v>29</v>
      </c>
      <c r="F165" s="12" t="n">
        <v>210.34</v>
      </c>
    </row>
    <row r="166">
      <c r="A166" s="8" t="inlineStr">
        <is>
          <t>reazy</t>
        </is>
      </c>
      <c r="B166" s="8" t="inlineStr">
        <is>
          <t>S2G Esports</t>
        </is>
      </c>
      <c r="C166" s="8" t="inlineStr">
        <is>
          <t>Killjoy</t>
        </is>
      </c>
      <c r="D166" s="8" t="n">
        <v>24</v>
      </c>
      <c r="E166" s="8" t="n">
        <v>29</v>
      </c>
      <c r="F166" s="8" t="n">
        <v>82.76000000000001</v>
      </c>
    </row>
    <row r="167">
      <c r="A167" s="12" t="inlineStr">
        <is>
          <t>reazy</t>
        </is>
      </c>
      <c r="B167" s="12" t="inlineStr">
        <is>
          <t>S2G Esports</t>
        </is>
      </c>
      <c r="C167" s="12" t="inlineStr">
        <is>
          <t>Omen</t>
        </is>
      </c>
      <c r="D167" s="12" t="n">
        <v>23</v>
      </c>
      <c r="E167" s="12" t="n">
        <v>29</v>
      </c>
      <c r="F167" s="12" t="n">
        <v>79.31</v>
      </c>
    </row>
    <row r="168">
      <c r="A168" s="8" t="inlineStr">
        <is>
          <t>reazy</t>
        </is>
      </c>
      <c r="B168" s="8" t="inlineStr">
        <is>
          <t>S2G Esports</t>
        </is>
      </c>
      <c r="C168" s="8" t="inlineStr">
        <is>
          <t>Brimstone</t>
        </is>
      </c>
      <c r="D168" s="8" t="n">
        <v>23</v>
      </c>
      <c r="E168" s="8" t="n">
        <v>29</v>
      </c>
      <c r="F168" s="8" t="n">
        <v>79.31</v>
      </c>
    </row>
    <row r="169">
      <c r="A169" s="12" t="inlineStr">
        <is>
          <t xml:space="preserve">Enzo </t>
        </is>
      </c>
      <c r="B169" s="12" t="inlineStr">
        <is>
          <t>Joblife</t>
        </is>
      </c>
      <c r="C169" s="12" t="inlineStr">
        <is>
          <t>Sova</t>
        </is>
      </c>
      <c r="D169" s="12" t="n">
        <v>528</v>
      </c>
      <c r="E169" s="12" t="n">
        <v>33</v>
      </c>
      <c r="F169" s="12" t="n">
        <v>1600</v>
      </c>
    </row>
    <row r="170">
      <c r="A170" s="8" t="inlineStr">
        <is>
          <t xml:space="preserve">Enzo </t>
        </is>
      </c>
      <c r="B170" s="8" t="inlineStr">
        <is>
          <t>Joblife</t>
        </is>
      </c>
      <c r="C170" s="8" t="inlineStr">
        <is>
          <t>Tejo</t>
        </is>
      </c>
      <c r="D170" s="8" t="n">
        <v>89</v>
      </c>
      <c r="E170" s="8" t="n">
        <v>33</v>
      </c>
      <c r="F170" s="8" t="n">
        <v>269.7</v>
      </c>
    </row>
    <row r="171">
      <c r="A171" s="12" t="inlineStr">
        <is>
          <t xml:space="preserve">Enzo </t>
        </is>
      </c>
      <c r="B171" s="12" t="inlineStr">
        <is>
          <t>Joblife</t>
        </is>
      </c>
      <c r="C171" s="12" t="inlineStr">
        <is>
          <t>Reyna</t>
        </is>
      </c>
      <c r="D171" s="12" t="n">
        <v>26</v>
      </c>
      <c r="E171" s="12" t="n">
        <v>33</v>
      </c>
      <c r="F171" s="12" t="n">
        <v>78.79000000000001</v>
      </c>
    </row>
    <row r="172">
      <c r="A172" s="8" t="inlineStr">
        <is>
          <t xml:space="preserve">Enzo </t>
        </is>
      </c>
      <c r="B172" s="8" t="inlineStr">
        <is>
          <t>Joblife</t>
        </is>
      </c>
      <c r="C172" s="8" t="inlineStr">
        <is>
          <t>Fade</t>
        </is>
      </c>
      <c r="D172" s="8" t="n">
        <v>24</v>
      </c>
      <c r="E172" s="8" t="n">
        <v>33</v>
      </c>
      <c r="F172" s="8" t="n">
        <v>72.73</v>
      </c>
    </row>
    <row r="173">
      <c r="A173" s="12" t="inlineStr">
        <is>
          <t xml:space="preserve">Enzo </t>
        </is>
      </c>
      <c r="B173" s="12" t="inlineStr">
        <is>
          <t>Joblife</t>
        </is>
      </c>
      <c r="C173" s="12" t="inlineStr">
        <is>
          <t>Skye</t>
        </is>
      </c>
      <c r="D173" s="12" t="n">
        <v>16</v>
      </c>
      <c r="E173" s="12" t="n">
        <v>33</v>
      </c>
      <c r="F173" s="12" t="n">
        <v>48.48</v>
      </c>
    </row>
    <row r="174">
      <c r="A174" s="8" t="inlineStr">
        <is>
          <t>Natank</t>
        </is>
      </c>
      <c r="B174" s="8" t="inlineStr">
        <is>
          <t>Mandatory</t>
        </is>
      </c>
      <c r="C174" s="8" t="inlineStr">
        <is>
          <t>Killjoy</t>
        </is>
      </c>
      <c r="D174" s="8" t="n">
        <v>178</v>
      </c>
      <c r="E174" s="8" t="n">
        <v>30</v>
      </c>
      <c r="F174" s="8" t="n">
        <v>593.33</v>
      </c>
    </row>
    <row r="175">
      <c r="A175" s="12" t="inlineStr">
        <is>
          <t>Natank</t>
        </is>
      </c>
      <c r="B175" s="12" t="inlineStr">
        <is>
          <t>Mandatory</t>
        </is>
      </c>
      <c r="C175" s="12" t="inlineStr">
        <is>
          <t>Brimstone</t>
        </is>
      </c>
      <c r="D175" s="12" t="n">
        <v>172</v>
      </c>
      <c r="E175" s="12" t="n">
        <v>30</v>
      </c>
      <c r="F175" s="12" t="n">
        <v>573.33</v>
      </c>
    </row>
    <row r="176">
      <c r="A176" s="8" t="inlineStr">
        <is>
          <t>Natank</t>
        </is>
      </c>
      <c r="B176" s="8" t="inlineStr">
        <is>
          <t>Mandatory</t>
        </is>
      </c>
      <c r="C176" s="8" t="inlineStr">
        <is>
          <t>Viper</t>
        </is>
      </c>
      <c r="D176" s="8" t="n">
        <v>160</v>
      </c>
      <c r="E176" s="8" t="n">
        <v>30</v>
      </c>
      <c r="F176" s="8" t="n">
        <v>533.33</v>
      </c>
    </row>
    <row r="177">
      <c r="A177" s="12" t="inlineStr">
        <is>
          <t>Natank</t>
        </is>
      </c>
      <c r="B177" s="12" t="inlineStr">
        <is>
          <t>Mandatory</t>
        </is>
      </c>
      <c r="C177" s="12" t="inlineStr">
        <is>
          <t>Sage</t>
        </is>
      </c>
      <c r="D177" s="12" t="n">
        <v>24</v>
      </c>
      <c r="E177" s="12" t="n">
        <v>30</v>
      </c>
      <c r="F177" s="12" t="n">
        <v>80</v>
      </c>
    </row>
    <row r="178">
      <c r="A178" s="8" t="inlineStr">
        <is>
          <t>Natank</t>
        </is>
      </c>
      <c r="B178" s="8" t="inlineStr">
        <is>
          <t>Mandatory</t>
        </is>
      </c>
      <c r="C178" s="8" t="inlineStr">
        <is>
          <t>Veto</t>
        </is>
      </c>
      <c r="D178" s="8" t="n">
        <v>19</v>
      </c>
      <c r="E178" s="8" t="n">
        <v>30</v>
      </c>
      <c r="F178" s="8" t="n">
        <v>63.33</v>
      </c>
    </row>
    <row r="179">
      <c r="A179" s="12" t="inlineStr">
        <is>
          <t>Natank</t>
        </is>
      </c>
      <c r="B179" s="12" t="inlineStr">
        <is>
          <t>Mandatory</t>
        </is>
      </c>
      <c r="C179" s="12" t="inlineStr">
        <is>
          <t>Phoenix</t>
        </is>
      </c>
      <c r="D179" s="12" t="n">
        <v>19</v>
      </c>
      <c r="E179" s="12" t="n">
        <v>30</v>
      </c>
      <c r="F179" s="12" t="n">
        <v>63.33</v>
      </c>
    </row>
    <row r="180">
      <c r="A180" s="8" t="inlineStr">
        <is>
          <t>Natank</t>
        </is>
      </c>
      <c r="B180" s="8" t="inlineStr">
        <is>
          <t>Mandatory</t>
        </is>
      </c>
      <c r="C180" s="8" t="inlineStr">
        <is>
          <t>Cypher</t>
        </is>
      </c>
      <c r="D180" s="8" t="n">
        <v>18</v>
      </c>
      <c r="E180" s="8" t="n">
        <v>30</v>
      </c>
      <c r="F180" s="8" t="n">
        <v>60</v>
      </c>
    </row>
    <row r="181">
      <c r="A181" s="12" t="inlineStr">
        <is>
          <t>QutionerX</t>
        </is>
      </c>
      <c r="B181" s="12" t="inlineStr">
        <is>
          <t>Misa Esports</t>
        </is>
      </c>
      <c r="C181" s="12" t="inlineStr">
        <is>
          <t>Waylay</t>
        </is>
      </c>
      <c r="D181" s="12" t="n">
        <v>253</v>
      </c>
      <c r="E181" s="12" t="n">
        <v>24</v>
      </c>
      <c r="F181" s="12" t="n">
        <v>1054.17</v>
      </c>
    </row>
    <row r="182">
      <c r="A182" s="8" t="inlineStr">
        <is>
          <t>QutionerX</t>
        </is>
      </c>
      <c r="B182" s="8" t="inlineStr">
        <is>
          <t>Misa Esports</t>
        </is>
      </c>
      <c r="C182" s="8" t="inlineStr">
        <is>
          <t>Yoru</t>
        </is>
      </c>
      <c r="D182" s="8" t="n">
        <v>225</v>
      </c>
      <c r="E182" s="8" t="n">
        <v>24</v>
      </c>
      <c r="F182" s="8" t="n">
        <v>937.5</v>
      </c>
    </row>
    <row r="183">
      <c r="A183" s="12" t="inlineStr">
        <is>
          <t>QutionerX</t>
        </is>
      </c>
      <c r="B183" s="12" t="inlineStr">
        <is>
          <t>Misa Esports</t>
        </is>
      </c>
      <c r="C183" s="12" t="inlineStr">
        <is>
          <t>Raze</t>
        </is>
      </c>
      <c r="D183" s="12" t="n">
        <v>19</v>
      </c>
      <c r="E183" s="12" t="n">
        <v>24</v>
      </c>
      <c r="F183" s="12" t="n">
        <v>79.17</v>
      </c>
    </row>
    <row r="184">
      <c r="A184" s="8" t="inlineStr">
        <is>
          <t>Fit1nho</t>
        </is>
      </c>
      <c r="B184" s="8" t="inlineStr">
        <is>
          <t>Barça eSports</t>
        </is>
      </c>
      <c r="C184" s="8" t="inlineStr">
        <is>
          <t>Sova</t>
        </is>
      </c>
      <c r="D184" s="8" t="n">
        <v>253</v>
      </c>
      <c r="E184" s="8" t="n">
        <v>30</v>
      </c>
      <c r="F184" s="8" t="n">
        <v>843.33</v>
      </c>
    </row>
    <row r="185">
      <c r="A185" s="12" t="inlineStr">
        <is>
          <t>Fit1nho</t>
        </is>
      </c>
      <c r="B185" s="12" t="inlineStr">
        <is>
          <t>Barça eSports</t>
        </is>
      </c>
      <c r="C185" s="12" t="inlineStr">
        <is>
          <t>Fade</t>
        </is>
      </c>
      <c r="D185" s="12" t="n">
        <v>247</v>
      </c>
      <c r="E185" s="12" t="n">
        <v>30</v>
      </c>
      <c r="F185" s="12" t="n">
        <v>823.33</v>
      </c>
    </row>
    <row r="186">
      <c r="A186" s="8" t="inlineStr">
        <is>
          <t>Fit1nho</t>
        </is>
      </c>
      <c r="B186" s="8" t="inlineStr">
        <is>
          <t>Barça eSports</t>
        </is>
      </c>
      <c r="C186" s="8" t="inlineStr">
        <is>
          <t>Breach</t>
        </is>
      </c>
      <c r="D186" s="8" t="n">
        <v>115</v>
      </c>
      <c r="E186" s="8" t="n">
        <v>30</v>
      </c>
      <c r="F186" s="8" t="n">
        <v>383.33</v>
      </c>
    </row>
    <row r="187">
      <c r="A187" s="12" t="inlineStr">
        <is>
          <t>Fit1nho</t>
        </is>
      </c>
      <c r="B187" s="12" t="inlineStr">
        <is>
          <t>Barça eSports</t>
        </is>
      </c>
      <c r="C187" s="12" t="inlineStr">
        <is>
          <t>Skye</t>
        </is>
      </c>
      <c r="D187" s="12" t="n">
        <v>22</v>
      </c>
      <c r="E187" s="12" t="n">
        <v>30</v>
      </c>
      <c r="F187" s="12" t="n">
        <v>73.33</v>
      </c>
    </row>
    <row r="188">
      <c r="A188" s="8" t="inlineStr">
        <is>
          <t>hezacoil</t>
        </is>
      </c>
      <c r="B188" s="8" t="inlineStr">
        <is>
          <t>S2G Esports</t>
        </is>
      </c>
      <c r="C188" s="8" t="inlineStr">
        <is>
          <t>Astra</t>
        </is>
      </c>
      <c r="D188" s="8" t="n">
        <v>401</v>
      </c>
      <c r="E188" s="8" t="n">
        <v>29</v>
      </c>
      <c r="F188" s="8" t="n">
        <v>1382.76</v>
      </c>
    </row>
    <row r="189">
      <c r="A189" s="12" t="inlineStr">
        <is>
          <t>hezacoil</t>
        </is>
      </c>
      <c r="B189" s="12" t="inlineStr">
        <is>
          <t>S2G Esports</t>
        </is>
      </c>
      <c r="C189" s="12" t="inlineStr">
        <is>
          <t>Omen</t>
        </is>
      </c>
      <c r="D189" s="12" t="n">
        <v>169</v>
      </c>
      <c r="E189" s="12" t="n">
        <v>29</v>
      </c>
      <c r="F189" s="12" t="n">
        <v>582.76</v>
      </c>
    </row>
    <row r="190">
      <c r="A190" s="8" t="inlineStr">
        <is>
          <t>hezacoil</t>
        </is>
      </c>
      <c r="B190" s="8" t="inlineStr">
        <is>
          <t>S2G Esports</t>
        </is>
      </c>
      <c r="C190" s="8" t="inlineStr">
        <is>
          <t>Brimstone</t>
        </is>
      </c>
      <c r="D190" s="8" t="n">
        <v>45</v>
      </c>
      <c r="E190" s="8" t="n">
        <v>29</v>
      </c>
      <c r="F190" s="8" t="n">
        <v>155.17</v>
      </c>
    </row>
    <row r="191">
      <c r="A191" s="12" t="inlineStr">
        <is>
          <t>hezacoil</t>
        </is>
      </c>
      <c r="B191" s="12" t="inlineStr">
        <is>
          <t>S2G Esports</t>
        </is>
      </c>
      <c r="C191" s="12" t="inlineStr">
        <is>
          <t>Cypher</t>
        </is>
      </c>
      <c r="D191" s="12" t="n">
        <v>26</v>
      </c>
      <c r="E191" s="12" t="n">
        <v>29</v>
      </c>
      <c r="F191" s="12" t="n">
        <v>89.66</v>
      </c>
    </row>
    <row r="192">
      <c r="A192" s="8" t="inlineStr">
        <is>
          <t>MAGNUM</t>
        </is>
      </c>
      <c r="B192" s="8" t="inlineStr">
        <is>
          <t>Enterprise Esports</t>
        </is>
      </c>
      <c r="C192" s="8" t="inlineStr">
        <is>
          <t>Viper</t>
        </is>
      </c>
      <c r="D192" s="8" t="n">
        <v>357</v>
      </c>
      <c r="E192" s="8" t="n">
        <v>26</v>
      </c>
      <c r="F192" s="8" t="n">
        <v>1373.08</v>
      </c>
    </row>
    <row r="193">
      <c r="A193" s="12" t="inlineStr">
        <is>
          <t>MAGNUM</t>
        </is>
      </c>
      <c r="B193" s="12" t="inlineStr">
        <is>
          <t>Enterprise Esports</t>
        </is>
      </c>
      <c r="C193" s="12" t="inlineStr">
        <is>
          <t>Killjoy</t>
        </is>
      </c>
      <c r="D193" s="12" t="n">
        <v>92</v>
      </c>
      <c r="E193" s="12" t="n">
        <v>26</v>
      </c>
      <c r="F193" s="12" t="n">
        <v>353.85</v>
      </c>
    </row>
    <row r="194">
      <c r="A194" s="8" t="inlineStr">
        <is>
          <t>MAGNUM</t>
        </is>
      </c>
      <c r="B194" s="8" t="inlineStr">
        <is>
          <t>Enterprise Esports</t>
        </is>
      </c>
      <c r="C194" s="8" t="inlineStr">
        <is>
          <t>Cypher</t>
        </is>
      </c>
      <c r="D194" s="8" t="n">
        <v>79</v>
      </c>
      <c r="E194" s="8" t="n">
        <v>26</v>
      </c>
      <c r="F194" s="8" t="n">
        <v>303.85</v>
      </c>
    </row>
    <row r="195">
      <c r="A195" s="12" t="inlineStr">
        <is>
          <t>batujnax</t>
        </is>
      </c>
      <c r="B195" s="12" t="inlineStr">
        <is>
          <t>S2G Esports</t>
        </is>
      </c>
      <c r="C195" s="12" t="inlineStr">
        <is>
          <t>Sova</t>
        </is>
      </c>
      <c r="D195" s="12" t="n">
        <v>328</v>
      </c>
      <c r="E195" s="12" t="n">
        <v>29</v>
      </c>
      <c r="F195" s="12" t="n">
        <v>1131.03</v>
      </c>
    </row>
    <row r="196">
      <c r="A196" s="8" t="inlineStr">
        <is>
          <t>batujnax</t>
        </is>
      </c>
      <c r="B196" s="8" t="inlineStr">
        <is>
          <t>S2G Esports</t>
        </is>
      </c>
      <c r="C196" s="8" t="inlineStr">
        <is>
          <t>Fade</t>
        </is>
      </c>
      <c r="D196" s="8" t="n">
        <v>135</v>
      </c>
      <c r="E196" s="8" t="n">
        <v>29</v>
      </c>
      <c r="F196" s="8" t="n">
        <v>465.52</v>
      </c>
    </row>
    <row r="197">
      <c r="A197" s="12" t="inlineStr">
        <is>
          <t>batujnax</t>
        </is>
      </c>
      <c r="B197" s="12" t="inlineStr">
        <is>
          <t>S2G Esports</t>
        </is>
      </c>
      <c r="C197" s="12" t="inlineStr">
        <is>
          <t>Tejo</t>
        </is>
      </c>
      <c r="D197" s="12" t="n">
        <v>68</v>
      </c>
      <c r="E197" s="12" t="n">
        <v>29</v>
      </c>
      <c r="F197" s="12" t="n">
        <v>234.48</v>
      </c>
    </row>
    <row r="198">
      <c r="A198" s="8" t="inlineStr">
        <is>
          <t>batujnax</t>
        </is>
      </c>
      <c r="B198" s="8" t="inlineStr">
        <is>
          <t>S2G Esports</t>
        </is>
      </c>
      <c r="C198" s="8" t="inlineStr">
        <is>
          <t>Veto</t>
        </is>
      </c>
      <c r="D198" s="8" t="n">
        <v>47</v>
      </c>
      <c r="E198" s="8" t="n">
        <v>29</v>
      </c>
      <c r="F198" s="8" t="n">
        <v>162.07</v>
      </c>
    </row>
    <row r="199">
      <c r="A199" s="12" t="inlineStr">
        <is>
          <t>batujnax</t>
        </is>
      </c>
      <c r="B199" s="12" t="inlineStr">
        <is>
          <t>S2G Esports</t>
        </is>
      </c>
      <c r="C199" s="12" t="inlineStr">
        <is>
          <t>Cypher</t>
        </is>
      </c>
      <c r="D199" s="12" t="n">
        <v>40</v>
      </c>
      <c r="E199" s="12" t="n">
        <v>29</v>
      </c>
      <c r="F199" s="12" t="n">
        <v>137.93</v>
      </c>
    </row>
    <row r="200">
      <c r="A200" s="8" t="inlineStr">
        <is>
          <t>batujnax</t>
        </is>
      </c>
      <c r="B200" s="8" t="inlineStr">
        <is>
          <t>S2G Esports</t>
        </is>
      </c>
      <c r="C200" s="8" t="inlineStr">
        <is>
          <t>Yoru</t>
        </is>
      </c>
      <c r="D200" s="8" t="n">
        <v>23</v>
      </c>
      <c r="E200" s="8" t="n">
        <v>29</v>
      </c>
      <c r="F200" s="8" t="n">
        <v>79.31</v>
      </c>
    </row>
    <row r="201">
      <c r="A201" s="12" t="inlineStr">
        <is>
          <t>Avvix</t>
        </is>
      </c>
      <c r="B201" s="12" t="inlineStr">
        <is>
          <t>Stallions Esports</t>
        </is>
      </c>
      <c r="C201" s="12" t="inlineStr">
        <is>
          <t>Fade</t>
        </is>
      </c>
      <c r="D201" s="12" t="n">
        <v>429</v>
      </c>
      <c r="E201" s="12" t="n">
        <v>31</v>
      </c>
      <c r="F201" s="12" t="n">
        <v>1383.87</v>
      </c>
    </row>
    <row r="202">
      <c r="A202" s="8" t="inlineStr">
        <is>
          <t>Avvix</t>
        </is>
      </c>
      <c r="B202" s="8" t="inlineStr">
        <is>
          <t>Stallions Esports</t>
        </is>
      </c>
      <c r="C202" s="8" t="inlineStr">
        <is>
          <t>Sova</t>
        </is>
      </c>
      <c r="D202" s="8" t="n">
        <v>145</v>
      </c>
      <c r="E202" s="8" t="n">
        <v>31</v>
      </c>
      <c r="F202" s="8" t="n">
        <v>467.74</v>
      </c>
    </row>
    <row r="203">
      <c r="A203" s="12" t="inlineStr">
        <is>
          <t>Avvix</t>
        </is>
      </c>
      <c r="B203" s="12" t="inlineStr">
        <is>
          <t>Stallions Esports</t>
        </is>
      </c>
      <c r="C203" s="12" t="inlineStr">
        <is>
          <t>Sage</t>
        </is>
      </c>
      <c r="D203" s="12" t="n">
        <v>26</v>
      </c>
      <c r="E203" s="12" t="n">
        <v>31</v>
      </c>
      <c r="F203" s="12" t="n">
        <v>83.87</v>
      </c>
    </row>
    <row r="204">
      <c r="A204" s="8" t="inlineStr">
        <is>
          <t>Avvix</t>
        </is>
      </c>
      <c r="B204" s="8" t="inlineStr">
        <is>
          <t>Stallions Esports</t>
        </is>
      </c>
      <c r="C204" s="8" t="inlineStr">
        <is>
          <t>Breach</t>
        </is>
      </c>
      <c r="D204" s="8" t="n">
        <v>14</v>
      </c>
      <c r="E204" s="8" t="n">
        <v>31</v>
      </c>
      <c r="F204" s="8" t="n">
        <v>45.16</v>
      </c>
    </row>
    <row r="205">
      <c r="A205" s="12" t="inlineStr">
        <is>
          <t>Avvix</t>
        </is>
      </c>
      <c r="B205" s="12" t="inlineStr">
        <is>
          <t>Stallions Esports</t>
        </is>
      </c>
      <c r="C205" s="12" t="inlineStr">
        <is>
          <t>Neon</t>
        </is>
      </c>
      <c r="D205" s="12" t="n">
        <v>14</v>
      </c>
      <c r="E205" s="12" t="n">
        <v>31</v>
      </c>
      <c r="F205" s="12" t="n">
        <v>45.16</v>
      </c>
    </row>
    <row r="206">
      <c r="A206" s="8" t="inlineStr">
        <is>
          <t>Avvix</t>
        </is>
      </c>
      <c r="B206" s="8" t="inlineStr">
        <is>
          <t>Stallions Esports</t>
        </is>
      </c>
      <c r="C206" s="8" t="inlineStr">
        <is>
          <t>Reyna</t>
        </is>
      </c>
      <c r="D206" s="8" t="n">
        <v>13</v>
      </c>
      <c r="E206" s="8" t="n">
        <v>31</v>
      </c>
      <c r="F206" s="8" t="n">
        <v>41.94</v>
      </c>
    </row>
    <row r="207">
      <c r="A207" s="12" t="inlineStr">
        <is>
          <t>kAdavra</t>
        </is>
      </c>
      <c r="B207" s="12" t="inlineStr">
        <is>
          <t>Mandatory</t>
        </is>
      </c>
      <c r="C207" s="12" t="inlineStr">
        <is>
          <t>Sova</t>
        </is>
      </c>
      <c r="D207" s="12" t="n">
        <v>385</v>
      </c>
      <c r="E207" s="12" t="n">
        <v>30</v>
      </c>
      <c r="F207" s="12" t="n">
        <v>1283.33</v>
      </c>
    </row>
    <row r="208">
      <c r="A208" s="8" t="inlineStr">
        <is>
          <t>kAdavra</t>
        </is>
      </c>
      <c r="B208" s="8" t="inlineStr">
        <is>
          <t>Mandatory</t>
        </is>
      </c>
      <c r="C208" s="8" t="inlineStr">
        <is>
          <t>Fade</t>
        </is>
      </c>
      <c r="D208" s="8" t="n">
        <v>123</v>
      </c>
      <c r="E208" s="8" t="n">
        <v>30</v>
      </c>
      <c r="F208" s="8" t="n">
        <v>410</v>
      </c>
    </row>
    <row r="209">
      <c r="A209" s="12" t="inlineStr">
        <is>
          <t>kAdavra</t>
        </is>
      </c>
      <c r="B209" s="12" t="inlineStr">
        <is>
          <t>Mandatory</t>
        </is>
      </c>
      <c r="C209" s="12" t="inlineStr">
        <is>
          <t>KAY/O</t>
        </is>
      </c>
      <c r="D209" s="12" t="n">
        <v>58</v>
      </c>
      <c r="E209" s="12" t="n">
        <v>30</v>
      </c>
      <c r="F209" s="12" t="n">
        <v>193.33</v>
      </c>
    </row>
    <row r="210">
      <c r="A210" s="8" t="inlineStr">
        <is>
          <t>kAdavra</t>
        </is>
      </c>
      <c r="B210" s="8" t="inlineStr">
        <is>
          <t>Mandatory</t>
        </is>
      </c>
      <c r="C210" s="8" t="inlineStr">
        <is>
          <t>Skye</t>
        </is>
      </c>
      <c r="D210" s="8" t="n">
        <v>24</v>
      </c>
      <c r="E210" s="8" t="n">
        <v>30</v>
      </c>
      <c r="F210" s="8" t="n">
        <v>80</v>
      </c>
    </row>
    <row r="211">
      <c r="A211" s="12" t="inlineStr">
        <is>
          <t>Proxh</t>
        </is>
      </c>
      <c r="B211" s="12" t="inlineStr">
        <is>
          <t>Enterprise Esports</t>
        </is>
      </c>
      <c r="C211" s="12" t="inlineStr">
        <is>
          <t>Omen</t>
        </is>
      </c>
      <c r="D211" s="12" t="n">
        <v>284</v>
      </c>
      <c r="E211" s="12" t="n">
        <v>26</v>
      </c>
      <c r="F211" s="12" t="n">
        <v>1092.31</v>
      </c>
    </row>
    <row r="212">
      <c r="A212" s="8" t="inlineStr">
        <is>
          <t>Proxh</t>
        </is>
      </c>
      <c r="B212" s="8" t="inlineStr">
        <is>
          <t>Enterprise Esports</t>
        </is>
      </c>
      <c r="C212" s="8" t="inlineStr">
        <is>
          <t>Brimstone</t>
        </is>
      </c>
      <c r="D212" s="8" t="n">
        <v>152</v>
      </c>
      <c r="E212" s="8" t="n">
        <v>26</v>
      </c>
      <c r="F212" s="8" t="n">
        <v>584.62</v>
      </c>
    </row>
    <row r="213">
      <c r="A213" s="12" t="inlineStr">
        <is>
          <t>Proxh</t>
        </is>
      </c>
      <c r="B213" s="12" t="inlineStr">
        <is>
          <t>Enterprise Esports</t>
        </is>
      </c>
      <c r="C213" s="12" t="inlineStr">
        <is>
          <t>Astra</t>
        </is>
      </c>
      <c r="D213" s="12" t="n">
        <v>92</v>
      </c>
      <c r="E213" s="12" t="n">
        <v>26</v>
      </c>
      <c r="F213" s="12" t="n">
        <v>353.85</v>
      </c>
    </row>
    <row r="214">
      <c r="A214" s="8" t="inlineStr">
        <is>
          <t>Lime</t>
        </is>
      </c>
      <c r="B214" s="8" t="inlineStr">
        <is>
          <t>Enterprise Esports</t>
        </is>
      </c>
      <c r="C214" s="8" t="inlineStr">
        <is>
          <t>Yoru</t>
        </is>
      </c>
      <c r="D214" s="8" t="n">
        <v>343</v>
      </c>
      <c r="E214" s="8" t="n">
        <v>26</v>
      </c>
      <c r="F214" s="8" t="n">
        <v>1319.23</v>
      </c>
    </row>
    <row r="215">
      <c r="A215" s="12" t="inlineStr">
        <is>
          <t>Lime</t>
        </is>
      </c>
      <c r="B215" s="12" t="inlineStr">
        <is>
          <t>Enterprise Esports</t>
        </is>
      </c>
      <c r="C215" s="12" t="inlineStr">
        <is>
          <t>KAY/O</t>
        </is>
      </c>
      <c r="D215" s="12" t="n">
        <v>93</v>
      </c>
      <c r="E215" s="12" t="n">
        <v>26</v>
      </c>
      <c r="F215" s="12" t="n">
        <v>357.69</v>
      </c>
    </row>
    <row r="216">
      <c r="A216" s="8" t="inlineStr">
        <is>
          <t>Lime</t>
        </is>
      </c>
      <c r="B216" s="8" t="inlineStr">
        <is>
          <t>Enterprise Esports</t>
        </is>
      </c>
      <c r="C216" s="8" t="inlineStr">
        <is>
          <t>Tejo</t>
        </is>
      </c>
      <c r="D216" s="8" t="n">
        <v>92</v>
      </c>
      <c r="E216" s="8" t="n">
        <v>26</v>
      </c>
      <c r="F216" s="8" t="n">
        <v>353.85</v>
      </c>
    </row>
    <row r="217">
      <c r="A217" s="12" t="inlineStr">
        <is>
          <t>Elite</t>
        </is>
      </c>
      <c r="B217" s="12" t="inlineStr">
        <is>
          <t>Misa Esports</t>
        </is>
      </c>
      <c r="C217" s="12" t="inlineStr">
        <is>
          <t>Viper</t>
        </is>
      </c>
      <c r="D217" s="12" t="n">
        <v>193</v>
      </c>
      <c r="E217" s="12" t="n">
        <v>24</v>
      </c>
      <c r="F217" s="12" t="n">
        <v>804.17</v>
      </c>
    </row>
    <row r="218">
      <c r="A218" s="8" t="inlineStr">
        <is>
          <t>Elite</t>
        </is>
      </c>
      <c r="B218" s="8" t="inlineStr">
        <is>
          <t>Misa Esports</t>
        </is>
      </c>
      <c r="C218" s="8" t="inlineStr">
        <is>
          <t>Cypher</t>
        </is>
      </c>
      <c r="D218" s="8" t="n">
        <v>186</v>
      </c>
      <c r="E218" s="8" t="n">
        <v>24</v>
      </c>
      <c r="F218" s="8" t="n">
        <v>775</v>
      </c>
    </row>
    <row r="219">
      <c r="A219" s="12" t="inlineStr">
        <is>
          <t>Elite</t>
        </is>
      </c>
      <c r="B219" s="12" t="inlineStr">
        <is>
          <t>Misa Esports</t>
        </is>
      </c>
      <c r="C219" s="12" t="inlineStr">
        <is>
          <t>Astra</t>
        </is>
      </c>
      <c r="D219" s="12" t="n">
        <v>99</v>
      </c>
      <c r="E219" s="12" t="n">
        <v>24</v>
      </c>
      <c r="F219" s="12" t="n">
        <v>412.5</v>
      </c>
    </row>
    <row r="220">
      <c r="A220" s="8" t="inlineStr">
        <is>
          <t>Elite</t>
        </is>
      </c>
      <c r="B220" s="8" t="inlineStr">
        <is>
          <t>Misa Esports</t>
        </is>
      </c>
      <c r="C220" s="8" t="inlineStr">
        <is>
          <t>Killjoy</t>
        </is>
      </c>
      <c r="D220" s="8" t="n">
        <v>19</v>
      </c>
      <c r="E220" s="8" t="n">
        <v>24</v>
      </c>
      <c r="F220" s="8" t="n">
        <v>79.17</v>
      </c>
    </row>
    <row r="221">
      <c r="A221" s="12" t="inlineStr">
        <is>
          <t>burzzy</t>
        </is>
      </c>
      <c r="B221" s="12" t="inlineStr">
        <is>
          <t>Misa Esports</t>
        </is>
      </c>
      <c r="C221" s="12" t="inlineStr">
        <is>
          <t>Omen</t>
        </is>
      </c>
      <c r="D221" s="12" t="n">
        <v>372</v>
      </c>
      <c r="E221" s="12" t="n">
        <v>24</v>
      </c>
      <c r="F221" s="12" t="n">
        <v>1550</v>
      </c>
    </row>
    <row r="222">
      <c r="A222" s="8" t="inlineStr">
        <is>
          <t>burzzy</t>
        </is>
      </c>
      <c r="B222" s="8" t="inlineStr">
        <is>
          <t>Misa Esports</t>
        </is>
      </c>
      <c r="C222" s="8" t="inlineStr">
        <is>
          <t>Astra</t>
        </is>
      </c>
      <c r="D222" s="8" t="n">
        <v>67</v>
      </c>
      <c r="E222" s="8" t="n">
        <v>24</v>
      </c>
      <c r="F222" s="8" t="n">
        <v>279.17</v>
      </c>
    </row>
    <row r="223">
      <c r="A223" s="12" t="inlineStr">
        <is>
          <t>burzzy</t>
        </is>
      </c>
      <c r="B223" s="12" t="inlineStr">
        <is>
          <t>Misa Esports</t>
        </is>
      </c>
      <c r="C223" s="12" t="inlineStr">
        <is>
          <t>Viper</t>
        </is>
      </c>
      <c r="D223" s="12" t="n">
        <v>39</v>
      </c>
      <c r="E223" s="12" t="n">
        <v>24</v>
      </c>
      <c r="F223" s="12" t="n">
        <v>162.5</v>
      </c>
    </row>
    <row r="224">
      <c r="A224" s="8" t="inlineStr">
        <is>
          <t>burzzy</t>
        </is>
      </c>
      <c r="B224" s="8" t="inlineStr">
        <is>
          <t>Misa Esports</t>
        </is>
      </c>
      <c r="C224" s="8" t="inlineStr">
        <is>
          <t>Brimstone</t>
        </is>
      </c>
      <c r="D224" s="8" t="n">
        <v>19</v>
      </c>
      <c r="E224" s="8" t="n">
        <v>24</v>
      </c>
      <c r="F224" s="8" t="n">
        <v>79.17</v>
      </c>
    </row>
    <row r="225">
      <c r="A225" s="12" t="inlineStr">
        <is>
          <t>kozzy</t>
        </is>
      </c>
      <c r="B225" s="12" t="inlineStr">
        <is>
          <t>Enterprise Esports</t>
        </is>
      </c>
      <c r="C225" s="12" t="inlineStr">
        <is>
          <t>Waylay</t>
        </is>
      </c>
      <c r="D225" s="12" t="n">
        <v>136</v>
      </c>
      <c r="E225" s="12" t="n">
        <v>19</v>
      </c>
      <c r="F225" s="12" t="n">
        <v>715.79</v>
      </c>
    </row>
    <row r="226">
      <c r="A226" s="8" t="inlineStr">
        <is>
          <t>kozzy</t>
        </is>
      </c>
      <c r="B226" s="8" t="inlineStr">
        <is>
          <t>Enterprise Esports</t>
        </is>
      </c>
      <c r="C226" s="8" t="inlineStr">
        <is>
          <t>Raze</t>
        </is>
      </c>
      <c r="D226" s="8" t="n">
        <v>82</v>
      </c>
      <c r="E226" s="8" t="n">
        <v>19</v>
      </c>
      <c r="F226" s="8" t="n">
        <v>431.58</v>
      </c>
    </row>
    <row r="227">
      <c r="A227" s="12" t="inlineStr">
        <is>
          <t>kozzy</t>
        </is>
      </c>
      <c r="B227" s="12" t="inlineStr">
        <is>
          <t>Enterprise Esports</t>
        </is>
      </c>
      <c r="C227" s="12" t="inlineStr">
        <is>
          <t>Neon</t>
        </is>
      </c>
      <c r="D227" s="12" t="n">
        <v>79</v>
      </c>
      <c r="E227" s="12" t="n">
        <v>19</v>
      </c>
      <c r="F227" s="12" t="n">
        <v>415.79</v>
      </c>
    </row>
    <row r="228">
      <c r="A228" s="8" t="inlineStr">
        <is>
          <t>kozzy</t>
        </is>
      </c>
      <c r="B228" s="8" t="inlineStr">
        <is>
          <t>Enterprise Esports</t>
        </is>
      </c>
      <c r="C228" s="8" t="inlineStr">
        <is>
          <t>Yoru</t>
        </is>
      </c>
      <c r="D228" s="8" t="n">
        <v>76</v>
      </c>
      <c r="E228" s="8" t="n">
        <v>19</v>
      </c>
      <c r="F228" s="8" t="n">
        <v>400</v>
      </c>
    </row>
    <row r="229">
      <c r="A229" s="12" t="inlineStr">
        <is>
          <t>Brave</t>
        </is>
      </c>
      <c r="B229" s="12" t="inlineStr">
        <is>
          <t>Misa Esports</t>
        </is>
      </c>
      <c r="C229" s="12" t="inlineStr">
        <is>
          <t>Neon</t>
        </is>
      </c>
      <c r="D229" s="12" t="n">
        <v>177</v>
      </c>
      <c r="E229" s="12" t="n">
        <v>24</v>
      </c>
      <c r="F229" s="12" t="n">
        <v>737.5</v>
      </c>
    </row>
    <row r="230">
      <c r="A230" s="8" t="inlineStr">
        <is>
          <t>Brave</t>
        </is>
      </c>
      <c r="B230" s="8" t="inlineStr">
        <is>
          <t>Misa Esports</t>
        </is>
      </c>
      <c r="C230" s="8" t="inlineStr">
        <is>
          <t>KAY/O</t>
        </is>
      </c>
      <c r="D230" s="8" t="n">
        <v>133</v>
      </c>
      <c r="E230" s="8" t="n">
        <v>24</v>
      </c>
      <c r="F230" s="8" t="n">
        <v>554.17</v>
      </c>
    </row>
    <row r="231">
      <c r="A231" s="12" t="inlineStr">
        <is>
          <t>Brave</t>
        </is>
      </c>
      <c r="B231" s="12" t="inlineStr">
        <is>
          <t>Misa Esports</t>
        </is>
      </c>
      <c r="C231" s="12" t="inlineStr">
        <is>
          <t>Fade</t>
        </is>
      </c>
      <c r="D231" s="12" t="n">
        <v>101</v>
      </c>
      <c r="E231" s="12" t="n">
        <v>24</v>
      </c>
      <c r="F231" s="12" t="n">
        <v>420.83</v>
      </c>
    </row>
    <row r="232">
      <c r="A232" s="8" t="inlineStr">
        <is>
          <t>Brave</t>
        </is>
      </c>
      <c r="B232" s="8" t="inlineStr">
        <is>
          <t>Misa Esports</t>
        </is>
      </c>
      <c r="C232" s="8" t="inlineStr">
        <is>
          <t>Tejo</t>
        </is>
      </c>
      <c r="D232" s="8" t="n">
        <v>86</v>
      </c>
      <c r="E232" s="8" t="n">
        <v>24</v>
      </c>
      <c r="F232" s="8" t="n">
        <v>358.33</v>
      </c>
    </row>
    <row r="233">
      <c r="A233" s="12" t="inlineStr">
        <is>
          <t>GSR</t>
        </is>
      </c>
      <c r="B233" s="12" t="inlineStr">
        <is>
          <t>Team Liquid Academy</t>
        </is>
      </c>
      <c r="C233" s="12" t="inlineStr">
        <is>
          <t>Yoru</t>
        </is>
      </c>
      <c r="D233" s="12" t="n">
        <v>248</v>
      </c>
      <c r="E233" s="12" t="n">
        <v>19</v>
      </c>
      <c r="F233" s="12" t="n">
        <v>1305.26</v>
      </c>
    </row>
    <row r="234">
      <c r="A234" s="8" t="inlineStr">
        <is>
          <t>GSR</t>
        </is>
      </c>
      <c r="B234" s="8" t="inlineStr">
        <is>
          <t>Team Liquid Academy</t>
        </is>
      </c>
      <c r="C234" s="8" t="inlineStr">
        <is>
          <t>Sage</t>
        </is>
      </c>
      <c r="D234" s="8" t="n">
        <v>143</v>
      </c>
      <c r="E234" s="8" t="n">
        <v>19</v>
      </c>
      <c r="F234" s="8" t="n">
        <v>752.63</v>
      </c>
    </row>
    <row r="235">
      <c r="A235" s="12" t="inlineStr">
        <is>
          <t>Tenkai</t>
        </is>
      </c>
      <c r="B235" s="12" t="inlineStr">
        <is>
          <t>GnG Amazigh</t>
        </is>
      </c>
      <c r="C235" s="12" t="inlineStr">
        <is>
          <t>Neon</t>
        </is>
      </c>
      <c r="D235" s="12" t="n">
        <v>209</v>
      </c>
      <c r="E235" s="12" t="n">
        <v>24</v>
      </c>
      <c r="F235" s="12" t="n">
        <v>870.83</v>
      </c>
    </row>
    <row r="236">
      <c r="A236" s="8" t="inlineStr">
        <is>
          <t>Tenkai</t>
        </is>
      </c>
      <c r="B236" s="8" t="inlineStr">
        <is>
          <t>GnG Amazigh</t>
        </is>
      </c>
      <c r="C236" s="8" t="inlineStr">
        <is>
          <t>KAY/O</t>
        </is>
      </c>
      <c r="D236" s="8" t="n">
        <v>106</v>
      </c>
      <c r="E236" s="8" t="n">
        <v>24</v>
      </c>
      <c r="F236" s="8" t="n">
        <v>441.67</v>
      </c>
    </row>
    <row r="237">
      <c r="A237" s="12" t="inlineStr">
        <is>
          <t>Tenkai</t>
        </is>
      </c>
      <c r="B237" s="12" t="inlineStr">
        <is>
          <t>GnG Amazigh</t>
        </is>
      </c>
      <c r="C237" s="12" t="inlineStr">
        <is>
          <t>Skye</t>
        </is>
      </c>
      <c r="D237" s="12" t="n">
        <v>66</v>
      </c>
      <c r="E237" s="12" t="n">
        <v>24</v>
      </c>
      <c r="F237" s="12" t="n">
        <v>275</v>
      </c>
    </row>
    <row r="238">
      <c r="A238" s="8" t="inlineStr">
        <is>
          <t>Tenkai</t>
        </is>
      </c>
      <c r="B238" s="8" t="inlineStr">
        <is>
          <t>GnG Amazigh</t>
        </is>
      </c>
      <c r="C238" s="8" t="inlineStr">
        <is>
          <t>Sova</t>
        </is>
      </c>
      <c r="D238" s="8" t="n">
        <v>58</v>
      </c>
      <c r="E238" s="8" t="n">
        <v>24</v>
      </c>
      <c r="F238" s="8" t="n">
        <v>241.67</v>
      </c>
    </row>
    <row r="239">
      <c r="A239" s="12" t="inlineStr">
        <is>
          <t>Tenkai</t>
        </is>
      </c>
      <c r="B239" s="12" t="inlineStr">
        <is>
          <t>GnG Amazigh</t>
        </is>
      </c>
      <c r="C239" s="12" t="inlineStr">
        <is>
          <t>Chamber</t>
        </is>
      </c>
      <c r="D239" s="12" t="n">
        <v>26</v>
      </c>
      <c r="E239" s="12" t="n">
        <v>24</v>
      </c>
      <c r="F239" s="12" t="n">
        <v>108.33</v>
      </c>
    </row>
    <row r="240">
      <c r="A240" s="8" t="inlineStr">
        <is>
          <t>Tenkai</t>
        </is>
      </c>
      <c r="B240" s="8" t="inlineStr">
        <is>
          <t>GnG Amazigh</t>
        </is>
      </c>
      <c r="C240" s="8" t="inlineStr">
        <is>
          <t>Sage</t>
        </is>
      </c>
      <c r="D240" s="8" t="n">
        <v>22</v>
      </c>
      <c r="E240" s="8" t="n">
        <v>24</v>
      </c>
      <c r="F240" s="8" t="n">
        <v>91.67</v>
      </c>
    </row>
    <row r="241">
      <c r="A241" s="12" t="inlineStr">
        <is>
          <t>Tenkai</t>
        </is>
      </c>
      <c r="B241" s="12" t="inlineStr">
        <is>
          <t>GnG Amazigh</t>
        </is>
      </c>
      <c r="C241" s="12" t="inlineStr">
        <is>
          <t>Tejo</t>
        </is>
      </c>
      <c r="D241" s="12" t="n">
        <v>20</v>
      </c>
      <c r="E241" s="12" t="n">
        <v>24</v>
      </c>
      <c r="F241" s="12" t="n">
        <v>83.33</v>
      </c>
    </row>
    <row r="242">
      <c r="A242" s="8" t="inlineStr">
        <is>
          <t>Wanzeru</t>
        </is>
      </c>
      <c r="B242" s="8" t="inlineStr">
        <is>
          <t>Team Liquid Academy</t>
        </is>
      </c>
      <c r="C242" s="8" t="inlineStr">
        <is>
          <t>Neon</t>
        </is>
      </c>
      <c r="D242" s="8" t="n">
        <v>200</v>
      </c>
      <c r="E242" s="8" t="n">
        <v>19</v>
      </c>
      <c r="F242" s="8" t="n">
        <v>1052.63</v>
      </c>
    </row>
    <row r="243">
      <c r="A243" s="12" t="inlineStr">
        <is>
          <t>Wanzeru</t>
        </is>
      </c>
      <c r="B243" s="12" t="inlineStr">
        <is>
          <t>Team Liquid Academy</t>
        </is>
      </c>
      <c r="C243" s="12" t="inlineStr">
        <is>
          <t>Yoru</t>
        </is>
      </c>
      <c r="D243" s="12" t="n">
        <v>143</v>
      </c>
      <c r="E243" s="12" t="n">
        <v>19</v>
      </c>
      <c r="F243" s="12" t="n">
        <v>752.63</v>
      </c>
    </row>
    <row r="244">
      <c r="A244" s="8" t="inlineStr">
        <is>
          <t>Wanzeru</t>
        </is>
      </c>
      <c r="B244" s="8" t="inlineStr">
        <is>
          <t>Team Liquid Academy</t>
        </is>
      </c>
      <c r="C244" s="8" t="inlineStr">
        <is>
          <t>Raze</t>
        </is>
      </c>
      <c r="D244" s="8" t="n">
        <v>48</v>
      </c>
      <c r="E244" s="8" t="n">
        <v>19</v>
      </c>
      <c r="F244" s="8" t="n">
        <v>252.63</v>
      </c>
    </row>
    <row r="245">
      <c r="A245" s="12" t="inlineStr">
        <is>
          <t>OUKA</t>
        </is>
      </c>
      <c r="B245" s="12" t="inlineStr">
        <is>
          <t>GnG Amazigh</t>
        </is>
      </c>
      <c r="C245" s="12" t="inlineStr">
        <is>
          <t>Waylay</t>
        </is>
      </c>
      <c r="D245" s="12" t="n">
        <v>421</v>
      </c>
      <c r="E245" s="12" t="n">
        <v>19</v>
      </c>
      <c r="F245" s="12" t="n">
        <v>2215.79</v>
      </c>
    </row>
    <row r="246">
      <c r="A246" s="8" t="inlineStr">
        <is>
          <t>Kajuks</t>
        </is>
      </c>
      <c r="B246" s="8" t="inlineStr">
        <is>
          <t>Barça eSports</t>
        </is>
      </c>
      <c r="C246" s="8" t="inlineStr">
        <is>
          <t>Omen</t>
        </is>
      </c>
      <c r="D246" s="8" t="n">
        <v>235</v>
      </c>
      <c r="E246" s="8" t="n">
        <v>25</v>
      </c>
      <c r="F246" s="8" t="n">
        <v>940</v>
      </c>
    </row>
    <row r="247">
      <c r="A247" s="12" t="inlineStr">
        <is>
          <t>Kajuks</t>
        </is>
      </c>
      <c r="B247" s="12" t="inlineStr">
        <is>
          <t>Barça eSports</t>
        </is>
      </c>
      <c r="C247" s="12" t="inlineStr">
        <is>
          <t>Astra</t>
        </is>
      </c>
      <c r="D247" s="12" t="n">
        <v>195</v>
      </c>
      <c r="E247" s="12" t="n">
        <v>25</v>
      </c>
      <c r="F247" s="12" t="n">
        <v>780</v>
      </c>
    </row>
    <row r="248">
      <c r="A248" s="8" t="inlineStr">
        <is>
          <t>Kajuks</t>
        </is>
      </c>
      <c r="B248" s="8" t="inlineStr">
        <is>
          <t>Barça eSports</t>
        </is>
      </c>
      <c r="C248" s="8" t="inlineStr">
        <is>
          <t>Brimstone</t>
        </is>
      </c>
      <c r="D248" s="8" t="n">
        <v>107</v>
      </c>
      <c r="E248" s="8" t="n">
        <v>25</v>
      </c>
      <c r="F248" s="8" t="n">
        <v>428</v>
      </c>
    </row>
    <row r="249">
      <c r="A249" s="12" t="inlineStr">
        <is>
          <t>AL7B</t>
        </is>
      </c>
      <c r="B249" s="12" t="inlineStr">
        <is>
          <t>Stallions Esports</t>
        </is>
      </c>
      <c r="C249" s="12" t="inlineStr">
        <is>
          <t>Omen</t>
        </is>
      </c>
      <c r="D249" s="12" t="n">
        <v>289</v>
      </c>
      <c r="E249" s="12" t="n">
        <v>24</v>
      </c>
      <c r="F249" s="12" t="n">
        <v>1204.17</v>
      </c>
    </row>
    <row r="250">
      <c r="A250" s="8" t="inlineStr">
        <is>
          <t>AL7B</t>
        </is>
      </c>
      <c r="B250" s="8" t="inlineStr">
        <is>
          <t>Stallions Esports</t>
        </is>
      </c>
      <c r="C250" s="8" t="inlineStr">
        <is>
          <t>Astra</t>
        </is>
      </c>
      <c r="D250" s="8" t="n">
        <v>124</v>
      </c>
      <c r="E250" s="8" t="n">
        <v>24</v>
      </c>
      <c r="F250" s="8" t="n">
        <v>516.67</v>
      </c>
    </row>
    <row r="251">
      <c r="A251" s="12" t="inlineStr">
        <is>
          <t>AL7B</t>
        </is>
      </c>
      <c r="B251" s="12" t="inlineStr">
        <is>
          <t>Stallions Esports</t>
        </is>
      </c>
      <c r="C251" s="12" t="inlineStr">
        <is>
          <t>Brimstone</t>
        </is>
      </c>
      <c r="D251" s="12" t="n">
        <v>53</v>
      </c>
      <c r="E251" s="12" t="n">
        <v>24</v>
      </c>
      <c r="F251" s="12" t="n">
        <v>220.83</v>
      </c>
    </row>
    <row r="252">
      <c r="A252" s="8" t="inlineStr">
        <is>
          <t>AL7B</t>
        </is>
      </c>
      <c r="B252" s="8" t="inlineStr">
        <is>
          <t>Stallions Esports</t>
        </is>
      </c>
      <c r="C252" s="8" t="inlineStr">
        <is>
          <t>Yoru</t>
        </is>
      </c>
      <c r="D252" s="8" t="n">
        <v>26</v>
      </c>
      <c r="E252" s="8" t="n">
        <v>24</v>
      </c>
      <c r="F252" s="8" t="n">
        <v>108.33</v>
      </c>
    </row>
    <row r="253">
      <c r="A253" s="12" t="inlineStr">
        <is>
          <t>AL7B</t>
        </is>
      </c>
      <c r="B253" s="12" t="inlineStr">
        <is>
          <t>Stallions Esports</t>
        </is>
      </c>
      <c r="C253" s="12" t="inlineStr">
        <is>
          <t>Tejo</t>
        </is>
      </c>
      <c r="D253" s="12" t="n">
        <v>23</v>
      </c>
      <c r="E253" s="12" t="n">
        <v>24</v>
      </c>
      <c r="F253" s="12" t="n">
        <v>95.83</v>
      </c>
    </row>
    <row r="254">
      <c r="A254" s="8" t="inlineStr">
        <is>
          <t>iluri</t>
        </is>
      </c>
      <c r="B254" s="8" t="inlineStr">
        <is>
          <t>Enterprise Esports</t>
        </is>
      </c>
      <c r="C254" s="8" t="inlineStr">
        <is>
          <t>Fade</t>
        </is>
      </c>
      <c r="D254" s="8" t="n">
        <v>337</v>
      </c>
      <c r="E254" s="8" t="n">
        <v>26</v>
      </c>
      <c r="F254" s="8" t="n">
        <v>1296.15</v>
      </c>
    </row>
    <row r="255">
      <c r="A255" s="12" t="inlineStr">
        <is>
          <t>iluri</t>
        </is>
      </c>
      <c r="B255" s="12" t="inlineStr">
        <is>
          <t>Enterprise Esports</t>
        </is>
      </c>
      <c r="C255" s="12" t="inlineStr">
        <is>
          <t>Tejo</t>
        </is>
      </c>
      <c r="D255" s="12" t="n">
        <v>112</v>
      </c>
      <c r="E255" s="12" t="n">
        <v>26</v>
      </c>
      <c r="F255" s="12" t="n">
        <v>430.77</v>
      </c>
    </row>
    <row r="256">
      <c r="A256" s="8" t="inlineStr">
        <is>
          <t>iluri</t>
        </is>
      </c>
      <c r="B256" s="8" t="inlineStr">
        <is>
          <t>Enterprise Esports</t>
        </is>
      </c>
      <c r="C256" s="8" t="inlineStr">
        <is>
          <t>Sova</t>
        </is>
      </c>
      <c r="D256" s="8" t="n">
        <v>79</v>
      </c>
      <c r="E256" s="8" t="n">
        <v>26</v>
      </c>
      <c r="F256" s="8" t="n">
        <v>303.85</v>
      </c>
    </row>
    <row r="257">
      <c r="A257" s="12" t="inlineStr">
        <is>
          <t>Snop</t>
        </is>
      </c>
      <c r="B257" s="12" t="inlineStr">
        <is>
          <t>GnG Amazigh</t>
        </is>
      </c>
      <c r="C257" s="12" t="inlineStr">
        <is>
          <t>Yoru</t>
        </is>
      </c>
      <c r="D257" s="12" t="n">
        <v>225</v>
      </c>
      <c r="E257" s="12" t="n">
        <v>22</v>
      </c>
      <c r="F257" s="12" t="n">
        <v>1022.73</v>
      </c>
    </row>
    <row r="258">
      <c r="A258" s="8" t="inlineStr">
        <is>
          <t>Snop</t>
        </is>
      </c>
      <c r="B258" s="8" t="inlineStr">
        <is>
          <t>GnG Amazigh</t>
        </is>
      </c>
      <c r="C258" s="8" t="inlineStr">
        <is>
          <t>Waylay</t>
        </is>
      </c>
      <c r="D258" s="8" t="n">
        <v>78</v>
      </c>
      <c r="E258" s="8" t="n">
        <v>22</v>
      </c>
      <c r="F258" s="8" t="n">
        <v>354.55</v>
      </c>
    </row>
    <row r="259">
      <c r="A259" s="12" t="inlineStr">
        <is>
          <t>Snop</t>
        </is>
      </c>
      <c r="B259" s="12" t="inlineStr">
        <is>
          <t>GnG Amazigh</t>
        </is>
      </c>
      <c r="C259" s="12" t="inlineStr">
        <is>
          <t>Raze</t>
        </is>
      </c>
      <c r="D259" s="12" t="n">
        <v>50</v>
      </c>
      <c r="E259" s="12" t="n">
        <v>22</v>
      </c>
      <c r="F259" s="12" t="n">
        <v>227.27</v>
      </c>
    </row>
    <row r="260">
      <c r="A260" s="8" t="inlineStr">
        <is>
          <t>Snop</t>
        </is>
      </c>
      <c r="B260" s="8" t="inlineStr">
        <is>
          <t>GnG Amazigh</t>
        </is>
      </c>
      <c r="C260" s="8" t="inlineStr">
        <is>
          <t>Viper</t>
        </is>
      </c>
      <c r="D260" s="8" t="n">
        <v>44</v>
      </c>
      <c r="E260" s="8" t="n">
        <v>22</v>
      </c>
      <c r="F260" s="8" t="n">
        <v>200</v>
      </c>
    </row>
    <row r="261">
      <c r="A261" s="12" t="inlineStr">
        <is>
          <t>Snop</t>
        </is>
      </c>
      <c r="B261" s="12" t="inlineStr">
        <is>
          <t>GnG Amazigh</t>
        </is>
      </c>
      <c r="C261" s="12" t="inlineStr">
        <is>
          <t>Neon</t>
        </is>
      </c>
      <c r="D261" s="12" t="n">
        <v>44</v>
      </c>
      <c r="E261" s="12" t="n">
        <v>22</v>
      </c>
      <c r="F261" s="12" t="n">
        <v>200</v>
      </c>
    </row>
    <row r="262">
      <c r="A262" s="8" t="inlineStr">
        <is>
          <t>Snop</t>
        </is>
      </c>
      <c r="B262" s="8" t="inlineStr">
        <is>
          <t>GnG Amazigh</t>
        </is>
      </c>
      <c r="C262" s="8" t="inlineStr">
        <is>
          <t>Reyna</t>
        </is>
      </c>
      <c r="D262" s="8" t="n">
        <v>22</v>
      </c>
      <c r="E262" s="8" t="n">
        <v>22</v>
      </c>
      <c r="F262" s="8" t="n">
        <v>100</v>
      </c>
    </row>
    <row r="263">
      <c r="A263" s="12" t="inlineStr">
        <is>
          <t>Snop</t>
        </is>
      </c>
      <c r="B263" s="12" t="inlineStr">
        <is>
          <t>GnG Amazigh</t>
        </is>
      </c>
      <c r="C263" s="12" t="inlineStr">
        <is>
          <t>Jett</t>
        </is>
      </c>
      <c r="D263" s="12" t="n">
        <v>15</v>
      </c>
      <c r="E263" s="12" t="n">
        <v>22</v>
      </c>
      <c r="F263" s="12" t="n">
        <v>68.18000000000001</v>
      </c>
    </row>
    <row r="264">
      <c r="A264" s="8" t="inlineStr">
        <is>
          <t>pAura</t>
        </is>
      </c>
      <c r="B264" s="8" t="inlineStr">
        <is>
          <t>Misa Esports</t>
        </is>
      </c>
      <c r="C264" s="8" t="inlineStr">
        <is>
          <t>Sova</t>
        </is>
      </c>
      <c r="D264" s="8" t="n">
        <v>237</v>
      </c>
      <c r="E264" s="8" t="n">
        <v>24</v>
      </c>
      <c r="F264" s="8" t="n">
        <v>987.5</v>
      </c>
    </row>
    <row r="265">
      <c r="A265" s="12" t="inlineStr">
        <is>
          <t>pAura</t>
        </is>
      </c>
      <c r="B265" s="12" t="inlineStr">
        <is>
          <t>Misa Esports</t>
        </is>
      </c>
      <c r="C265" s="12" t="inlineStr">
        <is>
          <t>Fade</t>
        </is>
      </c>
      <c r="D265" s="12" t="n">
        <v>121</v>
      </c>
      <c r="E265" s="12" t="n">
        <v>24</v>
      </c>
      <c r="F265" s="12" t="n">
        <v>504.17</v>
      </c>
    </row>
    <row r="266">
      <c r="A266" s="8" t="inlineStr">
        <is>
          <t>pAura</t>
        </is>
      </c>
      <c r="B266" s="8" t="inlineStr">
        <is>
          <t>Misa Esports</t>
        </is>
      </c>
      <c r="C266" s="8" t="inlineStr">
        <is>
          <t>Breach</t>
        </is>
      </c>
      <c r="D266" s="8" t="n">
        <v>120</v>
      </c>
      <c r="E266" s="8" t="n">
        <v>24</v>
      </c>
      <c r="F266" s="8" t="n">
        <v>500</v>
      </c>
    </row>
    <row r="267">
      <c r="A267" s="12" t="inlineStr">
        <is>
          <t>pAura</t>
        </is>
      </c>
      <c r="B267" s="12" t="inlineStr">
        <is>
          <t>Misa Esports</t>
        </is>
      </c>
      <c r="C267" s="12" t="inlineStr">
        <is>
          <t>KAY/O</t>
        </is>
      </c>
      <c r="D267" s="12" t="n">
        <v>19</v>
      </c>
      <c r="E267" s="12" t="n">
        <v>24</v>
      </c>
      <c r="F267" s="12" t="n">
        <v>79.17</v>
      </c>
    </row>
    <row r="268">
      <c r="A268" s="8" t="inlineStr">
        <is>
          <t>rexxtoned</t>
        </is>
      </c>
      <c r="B268" s="8" t="inlineStr">
        <is>
          <t>Team Liquid Academy</t>
        </is>
      </c>
      <c r="C268" s="8" t="inlineStr">
        <is>
          <t>Vyse</t>
        </is>
      </c>
      <c r="D268" s="8" t="n">
        <v>288</v>
      </c>
      <c r="E268" s="8" t="n">
        <v>19</v>
      </c>
      <c r="F268" s="8" t="n">
        <v>1515.79</v>
      </c>
    </row>
    <row r="269">
      <c r="A269" s="12" t="inlineStr">
        <is>
          <t>rexxtoned</t>
        </is>
      </c>
      <c r="B269" s="12" t="inlineStr">
        <is>
          <t>Team Liquid Academy</t>
        </is>
      </c>
      <c r="C269" s="12" t="inlineStr">
        <is>
          <t>Viper</t>
        </is>
      </c>
      <c r="D269" s="12" t="n">
        <v>70</v>
      </c>
      <c r="E269" s="12" t="n">
        <v>19</v>
      </c>
      <c r="F269" s="12" t="n">
        <v>368.42</v>
      </c>
    </row>
    <row r="270">
      <c r="A270" s="8" t="inlineStr">
        <is>
          <t>rexxtoned</t>
        </is>
      </c>
      <c r="B270" s="8" t="inlineStr">
        <is>
          <t>Team Liquid Academy</t>
        </is>
      </c>
      <c r="C270" s="8" t="inlineStr">
        <is>
          <t>Cypher</t>
        </is>
      </c>
      <c r="D270" s="8" t="n">
        <v>33</v>
      </c>
      <c r="E270" s="8" t="n">
        <v>19</v>
      </c>
      <c r="F270" s="8" t="n">
        <v>173.68</v>
      </c>
    </row>
    <row r="271">
      <c r="A271" s="12" t="inlineStr">
        <is>
          <t>GSR</t>
        </is>
      </c>
      <c r="B271" s="12" t="inlineStr">
        <is>
          <t>Team Liquid Academy</t>
        </is>
      </c>
      <c r="C271" s="12" t="inlineStr">
        <is>
          <t>Yoru</t>
        </is>
      </c>
      <c r="D271" s="12" t="n">
        <v>138</v>
      </c>
      <c r="E271" s="12" t="n">
        <v>10</v>
      </c>
      <c r="F271" s="12" t="n">
        <v>1380</v>
      </c>
    </row>
    <row r="272">
      <c r="A272" s="8" t="inlineStr">
        <is>
          <t>GSR</t>
        </is>
      </c>
      <c r="B272" s="8" t="inlineStr">
        <is>
          <t>Team Liquid Academy</t>
        </is>
      </c>
      <c r="C272" s="8" t="inlineStr">
        <is>
          <t>KAY/O</t>
        </is>
      </c>
      <c r="D272" s="8" t="n">
        <v>22</v>
      </c>
      <c r="E272" s="8" t="n">
        <v>10</v>
      </c>
      <c r="F272" s="8" t="n">
        <v>220</v>
      </c>
    </row>
    <row r="273">
      <c r="A273" s="12" t="inlineStr">
        <is>
          <t>GSR</t>
        </is>
      </c>
      <c r="B273" s="12" t="inlineStr">
        <is>
          <t>Team Liquid Academy</t>
        </is>
      </c>
      <c r="C273" s="12" t="inlineStr">
        <is>
          <t>Waylay</t>
        </is>
      </c>
      <c r="D273" s="12" t="n">
        <v>20</v>
      </c>
      <c r="E273" s="12" t="n">
        <v>10</v>
      </c>
      <c r="F273" s="12" t="n">
        <v>200</v>
      </c>
    </row>
    <row r="274">
      <c r="A274" s="8" t="inlineStr">
        <is>
          <t>GSR</t>
        </is>
      </c>
      <c r="B274" s="8" t="inlineStr">
        <is>
          <t>Team Liquid Academy</t>
        </is>
      </c>
      <c r="C274" s="8" t="inlineStr">
        <is>
          <t>Sage</t>
        </is>
      </c>
      <c r="D274" s="8" t="n">
        <v>20</v>
      </c>
      <c r="E274" s="8" t="n">
        <v>10</v>
      </c>
      <c r="F274" s="8" t="n">
        <v>200</v>
      </c>
    </row>
    <row r="275">
      <c r="A275" s="12" t="inlineStr">
        <is>
          <t>Szimpli</t>
        </is>
      </c>
      <c r="B275" s="12" t="inlineStr">
        <is>
          <t>Pixel Lumina</t>
        </is>
      </c>
      <c r="C275" s="12" t="inlineStr">
        <is>
          <t>Raze</t>
        </is>
      </c>
      <c r="D275" s="12" t="n">
        <v>177</v>
      </c>
      <c r="E275" s="12" t="n">
        <v>12</v>
      </c>
      <c r="F275" s="12" t="n">
        <v>1475</v>
      </c>
    </row>
    <row r="276">
      <c r="A276" s="8" t="inlineStr">
        <is>
          <t>Szimpli</t>
        </is>
      </c>
      <c r="B276" s="8" t="inlineStr">
        <is>
          <t>Pixel Lumina</t>
        </is>
      </c>
      <c r="C276" s="8" t="inlineStr">
        <is>
          <t>Yoru</t>
        </is>
      </c>
      <c r="D276" s="8" t="n">
        <v>40</v>
      </c>
      <c r="E276" s="8" t="n">
        <v>12</v>
      </c>
      <c r="F276" s="8" t="n">
        <v>333.33</v>
      </c>
    </row>
    <row r="277">
      <c r="A277" s="12" t="inlineStr">
        <is>
          <t>Szimpli</t>
        </is>
      </c>
      <c r="B277" s="12" t="inlineStr">
        <is>
          <t>Pixel Lumina</t>
        </is>
      </c>
      <c r="C277" s="12" t="inlineStr">
        <is>
          <t>Neon</t>
        </is>
      </c>
      <c r="D277" s="12" t="n">
        <v>38</v>
      </c>
      <c r="E277" s="12" t="n">
        <v>12</v>
      </c>
      <c r="F277" s="12" t="n">
        <v>316.67</v>
      </c>
    </row>
    <row r="278">
      <c r="A278" s="8" t="inlineStr">
        <is>
          <t>reblyik</t>
        </is>
      </c>
      <c r="B278" s="8" t="inlineStr">
        <is>
          <t>MIR</t>
        </is>
      </c>
      <c r="C278" s="8" t="inlineStr">
        <is>
          <t>Viper</t>
        </is>
      </c>
      <c r="D278" s="8" t="n">
        <v>156</v>
      </c>
      <c r="E278" s="8" t="n">
        <v>11</v>
      </c>
      <c r="F278" s="8" t="n">
        <v>1418.18</v>
      </c>
    </row>
    <row r="279">
      <c r="A279" s="12" t="inlineStr">
        <is>
          <t>reblyik</t>
        </is>
      </c>
      <c r="B279" s="12" t="inlineStr">
        <is>
          <t>MIR</t>
        </is>
      </c>
      <c r="C279" s="12" t="inlineStr">
        <is>
          <t>Cypher</t>
        </is>
      </c>
      <c r="D279" s="12" t="n">
        <v>26</v>
      </c>
      <c r="E279" s="12" t="n">
        <v>11</v>
      </c>
      <c r="F279" s="12" t="n">
        <v>236.36</v>
      </c>
    </row>
    <row r="280">
      <c r="A280" s="8" t="inlineStr">
        <is>
          <t>reblyik</t>
        </is>
      </c>
      <c r="B280" s="8" t="inlineStr">
        <is>
          <t>MIR</t>
        </is>
      </c>
      <c r="C280" s="8" t="inlineStr">
        <is>
          <t>Yoru</t>
        </is>
      </c>
      <c r="D280" s="8" t="n">
        <v>18</v>
      </c>
      <c r="E280" s="8" t="n">
        <v>11</v>
      </c>
      <c r="F280" s="8" t="n">
        <v>163.64</v>
      </c>
    </row>
    <row r="281">
      <c r="A281" s="12" t="inlineStr">
        <is>
          <t>reblyik</t>
        </is>
      </c>
      <c r="B281" s="12" t="inlineStr">
        <is>
          <t>MIR</t>
        </is>
      </c>
      <c r="C281" s="12" t="inlineStr">
        <is>
          <t>Veto</t>
        </is>
      </c>
      <c r="D281" s="12" t="n">
        <v>18</v>
      </c>
      <c r="E281" s="12" t="n">
        <v>11</v>
      </c>
      <c r="F281" s="12" t="n">
        <v>163.64</v>
      </c>
    </row>
    <row r="282">
      <c r="A282" s="8" t="inlineStr">
        <is>
          <t>Chaza</t>
        </is>
      </c>
      <c r="B282" s="8" t="inlineStr">
        <is>
          <t>Pixel Lumina</t>
        </is>
      </c>
      <c r="C282" s="8" t="inlineStr">
        <is>
          <t>Yoru</t>
        </is>
      </c>
      <c r="D282" s="8" t="n">
        <v>215</v>
      </c>
      <c r="E282" s="8" t="n">
        <v>12</v>
      </c>
      <c r="F282" s="8" t="n">
        <v>1791.67</v>
      </c>
    </row>
    <row r="283">
      <c r="A283" s="12" t="inlineStr">
        <is>
          <t>Chaza</t>
        </is>
      </c>
      <c r="B283" s="12" t="inlineStr">
        <is>
          <t>Pixel Lumina</t>
        </is>
      </c>
      <c r="C283" s="12" t="inlineStr">
        <is>
          <t>Neon</t>
        </is>
      </c>
      <c r="D283" s="12" t="n">
        <v>40</v>
      </c>
      <c r="E283" s="12" t="n">
        <v>12</v>
      </c>
      <c r="F283" s="12" t="n">
        <v>333.33</v>
      </c>
    </row>
    <row r="284">
      <c r="A284" s="8" t="inlineStr">
        <is>
          <t>Leare</t>
        </is>
      </c>
      <c r="B284" s="8" t="inlineStr">
        <is>
          <t>Pixel Lumina</t>
        </is>
      </c>
      <c r="C284" s="8" t="inlineStr">
        <is>
          <t>Omen</t>
        </is>
      </c>
      <c r="D284" s="8" t="n">
        <v>128</v>
      </c>
      <c r="E284" s="8" t="n">
        <v>12</v>
      </c>
      <c r="F284" s="8" t="n">
        <v>1066.67</v>
      </c>
    </row>
    <row r="285">
      <c r="A285" s="12" t="inlineStr">
        <is>
          <t>Leare</t>
        </is>
      </c>
      <c r="B285" s="12" t="inlineStr">
        <is>
          <t>Pixel Lumina</t>
        </is>
      </c>
      <c r="C285" s="12" t="inlineStr">
        <is>
          <t>Brimstone</t>
        </is>
      </c>
      <c r="D285" s="12" t="n">
        <v>69</v>
      </c>
      <c r="E285" s="12" t="n">
        <v>12</v>
      </c>
      <c r="F285" s="12" t="n">
        <v>575</v>
      </c>
    </row>
    <row r="286">
      <c r="A286" s="8" t="inlineStr">
        <is>
          <t>Leare</t>
        </is>
      </c>
      <c r="B286" s="8" t="inlineStr">
        <is>
          <t>Pixel Lumina</t>
        </is>
      </c>
      <c r="C286" s="8" t="inlineStr">
        <is>
          <t>Astra</t>
        </is>
      </c>
      <c r="D286" s="8" t="n">
        <v>58</v>
      </c>
      <c r="E286" s="8" t="n">
        <v>12</v>
      </c>
      <c r="F286" s="8" t="n">
        <v>483.33</v>
      </c>
    </row>
    <row r="287">
      <c r="A287" s="12" t="inlineStr">
        <is>
          <t>Raz</t>
        </is>
      </c>
      <c r="B287" s="12" t="inlineStr">
        <is>
          <t>MIR</t>
        </is>
      </c>
      <c r="C287" s="12" t="inlineStr">
        <is>
          <t>Yoru</t>
        </is>
      </c>
      <c r="D287" s="12" t="n">
        <v>110</v>
      </c>
      <c r="E287" s="12" t="n">
        <v>11</v>
      </c>
      <c r="F287" s="12" t="n">
        <v>1000</v>
      </c>
    </row>
    <row r="288">
      <c r="A288" s="8" t="inlineStr">
        <is>
          <t>Raz</t>
        </is>
      </c>
      <c r="B288" s="8" t="inlineStr">
        <is>
          <t>MIR</t>
        </is>
      </c>
      <c r="C288" s="8" t="inlineStr">
        <is>
          <t>Jett</t>
        </is>
      </c>
      <c r="D288" s="8" t="n">
        <v>64</v>
      </c>
      <c r="E288" s="8" t="n">
        <v>11</v>
      </c>
      <c r="F288" s="8" t="n">
        <v>581.8200000000001</v>
      </c>
    </row>
    <row r="289">
      <c r="A289" s="12" t="inlineStr">
        <is>
          <t>Raz</t>
        </is>
      </c>
      <c r="B289" s="12" t="inlineStr">
        <is>
          <t>MIR</t>
        </is>
      </c>
      <c r="C289" s="12" t="inlineStr">
        <is>
          <t>Neon</t>
        </is>
      </c>
      <c r="D289" s="12" t="n">
        <v>44</v>
      </c>
      <c r="E289" s="12" t="n">
        <v>11</v>
      </c>
      <c r="F289" s="12" t="n">
        <v>400</v>
      </c>
    </row>
    <row r="290">
      <c r="A290" s="8" t="inlineStr">
        <is>
          <t>elllement</t>
        </is>
      </c>
      <c r="B290" s="8" t="inlineStr">
        <is>
          <t>Pixel Lumina</t>
        </is>
      </c>
      <c r="C290" s="8" t="inlineStr">
        <is>
          <t>Viper</t>
        </is>
      </c>
      <c r="D290" s="8" t="n">
        <v>215</v>
      </c>
      <c r="E290" s="8" t="n">
        <v>12</v>
      </c>
      <c r="F290" s="8" t="n">
        <v>1791.67</v>
      </c>
    </row>
    <row r="291">
      <c r="A291" s="12" t="inlineStr">
        <is>
          <t>elllement</t>
        </is>
      </c>
      <c r="B291" s="12" t="inlineStr">
        <is>
          <t>Pixel Lumina</t>
        </is>
      </c>
      <c r="C291" s="12" t="inlineStr">
        <is>
          <t>Killjoy</t>
        </is>
      </c>
      <c r="D291" s="12" t="n">
        <v>40</v>
      </c>
      <c r="E291" s="12" t="n">
        <v>12</v>
      </c>
      <c r="F291" s="12" t="n">
        <v>333.33</v>
      </c>
    </row>
    <row r="292">
      <c r="A292" s="8" t="inlineStr">
        <is>
          <t>kospa1n</t>
        </is>
      </c>
      <c r="B292" s="8" t="inlineStr">
        <is>
          <t>MIR</t>
        </is>
      </c>
      <c r="C292" s="8" t="inlineStr">
        <is>
          <t>Yoru</t>
        </is>
      </c>
      <c r="D292" s="8" t="n">
        <v>90</v>
      </c>
      <c r="E292" s="8" t="n">
        <v>11</v>
      </c>
      <c r="F292" s="8" t="n">
        <v>818.1799999999999</v>
      </c>
    </row>
    <row r="293">
      <c r="A293" s="12" t="inlineStr">
        <is>
          <t>kospa1n</t>
        </is>
      </c>
      <c r="B293" s="12" t="inlineStr">
        <is>
          <t>MIR</t>
        </is>
      </c>
      <c r="C293" s="12" t="inlineStr">
        <is>
          <t>Raze</t>
        </is>
      </c>
      <c r="D293" s="12" t="n">
        <v>70</v>
      </c>
      <c r="E293" s="12" t="n">
        <v>11</v>
      </c>
      <c r="F293" s="12" t="n">
        <v>636.36</v>
      </c>
    </row>
    <row r="294">
      <c r="A294" s="8" t="inlineStr">
        <is>
          <t>kospa1n</t>
        </is>
      </c>
      <c r="B294" s="8" t="inlineStr">
        <is>
          <t>MIR</t>
        </is>
      </c>
      <c r="C294" s="8" t="inlineStr">
        <is>
          <t>Waylay</t>
        </is>
      </c>
      <c r="D294" s="8" t="n">
        <v>40</v>
      </c>
      <c r="E294" s="8" t="n">
        <v>11</v>
      </c>
      <c r="F294" s="8" t="n">
        <v>363.64</v>
      </c>
    </row>
    <row r="295">
      <c r="A295" s="12" t="inlineStr">
        <is>
          <t>kospa1n</t>
        </is>
      </c>
      <c r="B295" s="12" t="inlineStr">
        <is>
          <t>MIR</t>
        </is>
      </c>
      <c r="C295" s="12" t="inlineStr">
        <is>
          <t>Vyse</t>
        </is>
      </c>
      <c r="D295" s="12" t="n">
        <v>18</v>
      </c>
      <c r="E295" s="12" t="n">
        <v>11</v>
      </c>
      <c r="F295" s="12" t="n">
        <v>163.64</v>
      </c>
    </row>
    <row r="296">
      <c r="A296" s="8" t="inlineStr">
        <is>
          <t>kya</t>
        </is>
      </c>
      <c r="B296" s="8" t="inlineStr">
        <is>
          <t>Pixel Lumina</t>
        </is>
      </c>
      <c r="C296" s="8" t="inlineStr">
        <is>
          <t>Fade</t>
        </is>
      </c>
      <c r="D296" s="8" t="n">
        <v>177</v>
      </c>
      <c r="E296" s="8" t="n">
        <v>12</v>
      </c>
      <c r="F296" s="8" t="n">
        <v>1475</v>
      </c>
    </row>
    <row r="297">
      <c r="A297" s="12" t="inlineStr">
        <is>
          <t>kya</t>
        </is>
      </c>
      <c r="B297" s="12" t="inlineStr">
        <is>
          <t>Pixel Lumina</t>
        </is>
      </c>
      <c r="C297" s="12" t="inlineStr">
        <is>
          <t>Sova</t>
        </is>
      </c>
      <c r="D297" s="12" t="n">
        <v>78</v>
      </c>
      <c r="E297" s="12" t="n">
        <v>12</v>
      </c>
      <c r="F297" s="12" t="n">
        <v>650</v>
      </c>
    </row>
    <row r="298">
      <c r="A298" s="8" t="inlineStr">
        <is>
          <t>Redgar</t>
        </is>
      </c>
      <c r="B298" s="8" t="inlineStr">
        <is>
          <t>MIR</t>
        </is>
      </c>
      <c r="C298" s="8" t="inlineStr">
        <is>
          <t>Sova</t>
        </is>
      </c>
      <c r="D298" s="8" t="n">
        <v>108</v>
      </c>
      <c r="E298" s="8" t="n">
        <v>11</v>
      </c>
      <c r="F298" s="8" t="n">
        <v>981.8200000000001</v>
      </c>
    </row>
    <row r="299">
      <c r="A299" s="12" t="inlineStr">
        <is>
          <t>Redgar</t>
        </is>
      </c>
      <c r="B299" s="12" t="inlineStr">
        <is>
          <t>MIR</t>
        </is>
      </c>
      <c r="C299" s="12" t="inlineStr">
        <is>
          <t>Skye</t>
        </is>
      </c>
      <c r="D299" s="12" t="n">
        <v>70</v>
      </c>
      <c r="E299" s="12" t="n">
        <v>11</v>
      </c>
      <c r="F299" s="12" t="n">
        <v>636.36</v>
      </c>
    </row>
    <row r="300">
      <c r="A300" s="8" t="inlineStr">
        <is>
          <t>Redgar</t>
        </is>
      </c>
      <c r="B300" s="8" t="inlineStr">
        <is>
          <t>MIR</t>
        </is>
      </c>
      <c r="C300" s="8" t="inlineStr">
        <is>
          <t>Fade</t>
        </is>
      </c>
      <c r="D300" s="8" t="n">
        <v>22</v>
      </c>
      <c r="E300" s="8" t="n">
        <v>11</v>
      </c>
      <c r="F300" s="8" t="n">
        <v>200</v>
      </c>
    </row>
    <row r="301">
      <c r="A301" s="12" t="inlineStr">
        <is>
          <t>Redgar</t>
        </is>
      </c>
      <c r="B301" s="12" t="inlineStr">
        <is>
          <t>MIR</t>
        </is>
      </c>
      <c r="C301" s="12" t="inlineStr">
        <is>
          <t>Breach</t>
        </is>
      </c>
      <c r="D301" s="12" t="n">
        <v>18</v>
      </c>
      <c r="E301" s="12" t="n">
        <v>11</v>
      </c>
      <c r="F301" s="12" t="n">
        <v>163.64</v>
      </c>
    </row>
    <row r="302">
      <c r="A302" s="8" t="inlineStr">
        <is>
          <t>rexxtoned</t>
        </is>
      </c>
      <c r="B302" s="8" t="inlineStr">
        <is>
          <t>Team Liquid Academy</t>
        </is>
      </c>
      <c r="C302" s="8" t="inlineStr">
        <is>
          <t>Vyse</t>
        </is>
      </c>
      <c r="D302" s="8" t="n">
        <v>83</v>
      </c>
      <c r="E302" s="8" t="n">
        <v>10</v>
      </c>
      <c r="F302" s="8" t="n">
        <v>830</v>
      </c>
    </row>
    <row r="303">
      <c r="A303" s="12" t="inlineStr">
        <is>
          <t>rexxtoned</t>
        </is>
      </c>
      <c r="B303" s="12" t="inlineStr">
        <is>
          <t>Team Liquid Academy</t>
        </is>
      </c>
      <c r="C303" s="12" t="inlineStr">
        <is>
          <t>Viper</t>
        </is>
      </c>
      <c r="D303" s="12" t="n">
        <v>52</v>
      </c>
      <c r="E303" s="12" t="n">
        <v>10</v>
      </c>
      <c r="F303" s="12" t="n">
        <v>520</v>
      </c>
    </row>
    <row r="304">
      <c r="A304" s="8" t="inlineStr">
        <is>
          <t>rexxtoned</t>
        </is>
      </c>
      <c r="B304" s="8" t="inlineStr">
        <is>
          <t>Team Liquid Academy</t>
        </is>
      </c>
      <c r="C304" s="8" t="inlineStr">
        <is>
          <t>Cypher</t>
        </is>
      </c>
      <c r="D304" s="8" t="n">
        <v>43</v>
      </c>
      <c r="E304" s="8" t="n">
        <v>10</v>
      </c>
      <c r="F304" s="8" t="n">
        <v>430</v>
      </c>
    </row>
    <row r="305">
      <c r="A305" s="12" t="inlineStr">
        <is>
          <t>rexxtoned</t>
        </is>
      </c>
      <c r="B305" s="12" t="inlineStr">
        <is>
          <t>Team Liquid Academy</t>
        </is>
      </c>
      <c r="C305" s="12" t="inlineStr">
        <is>
          <t>Astra</t>
        </is>
      </c>
      <c r="D305" s="12" t="n">
        <v>22</v>
      </c>
      <c r="E305" s="12" t="n">
        <v>10</v>
      </c>
      <c r="F305" s="12" t="n">
        <v>220</v>
      </c>
    </row>
    <row r="306">
      <c r="A306" s="8" t="inlineStr">
        <is>
          <t>swagzor</t>
        </is>
      </c>
      <c r="B306" s="8" t="inlineStr">
        <is>
          <t>Enterprise Esports</t>
        </is>
      </c>
      <c r="C306" s="8" t="inlineStr">
        <is>
          <t>Raze</t>
        </is>
      </c>
      <c r="D306" s="8" t="n">
        <v>70</v>
      </c>
      <c r="E306" s="8" t="n">
        <v>7</v>
      </c>
      <c r="F306" s="8" t="n">
        <v>1000</v>
      </c>
    </row>
    <row r="307">
      <c r="A307" s="12" t="inlineStr">
        <is>
          <t>swagzor</t>
        </is>
      </c>
      <c r="B307" s="12" t="inlineStr">
        <is>
          <t>Enterprise Esports</t>
        </is>
      </c>
      <c r="C307" s="12" t="inlineStr">
        <is>
          <t>Neon</t>
        </is>
      </c>
      <c r="D307" s="12" t="n">
        <v>45</v>
      </c>
      <c r="E307" s="12" t="n">
        <v>7</v>
      </c>
      <c r="F307" s="12" t="n">
        <v>642.86</v>
      </c>
    </row>
    <row r="308">
      <c r="A308" s="8" t="inlineStr">
        <is>
          <t>swagzor</t>
        </is>
      </c>
      <c r="B308" s="8" t="inlineStr">
        <is>
          <t>Enterprise Esports</t>
        </is>
      </c>
      <c r="C308" s="8" t="inlineStr">
        <is>
          <t>Waylay</t>
        </is>
      </c>
      <c r="D308" s="8" t="n">
        <v>24</v>
      </c>
      <c r="E308" s="8" t="n">
        <v>7</v>
      </c>
      <c r="F308" s="8" t="n">
        <v>342.86</v>
      </c>
    </row>
    <row r="309">
      <c r="A309" s="12" t="inlineStr">
        <is>
          <t>swagzor</t>
        </is>
      </c>
      <c r="B309" s="12" t="inlineStr">
        <is>
          <t>Enterprise Esports</t>
        </is>
      </c>
      <c r="C309" s="12" t="inlineStr">
        <is>
          <t>Yoru</t>
        </is>
      </c>
      <c r="D309" s="12" t="n">
        <v>16</v>
      </c>
      <c r="E309" s="12" t="n">
        <v>7</v>
      </c>
      <c r="F309" s="12" t="n">
        <v>228.57</v>
      </c>
    </row>
    <row r="310">
      <c r="A310" s="8" t="inlineStr">
        <is>
          <t>WanZeru</t>
        </is>
      </c>
      <c r="B310" s="8" t="inlineStr">
        <is>
          <t>Team Liquid Academy</t>
        </is>
      </c>
      <c r="C310" s="8" t="inlineStr">
        <is>
          <t>Neon</t>
        </is>
      </c>
      <c r="D310" s="8" t="n">
        <v>106</v>
      </c>
      <c r="E310" s="8" t="n">
        <v>10</v>
      </c>
      <c r="F310" s="8" t="n">
        <v>1060</v>
      </c>
    </row>
    <row r="311">
      <c r="A311" s="12" t="inlineStr">
        <is>
          <t>WanZeru</t>
        </is>
      </c>
      <c r="B311" s="12" t="inlineStr">
        <is>
          <t>Team Liquid Academy</t>
        </is>
      </c>
      <c r="C311" s="12" t="inlineStr">
        <is>
          <t>Yoru</t>
        </is>
      </c>
      <c r="D311" s="12" t="n">
        <v>40</v>
      </c>
      <c r="E311" s="12" t="n">
        <v>10</v>
      </c>
      <c r="F311" s="12" t="n">
        <v>400</v>
      </c>
    </row>
    <row r="312">
      <c r="A312" s="8" t="inlineStr">
        <is>
          <t>WanZeru</t>
        </is>
      </c>
      <c r="B312" s="8" t="inlineStr">
        <is>
          <t>Team Liquid Academy</t>
        </is>
      </c>
      <c r="C312" s="8" t="inlineStr">
        <is>
          <t>Raze</t>
        </is>
      </c>
      <c r="D312" s="8" t="n">
        <v>32</v>
      </c>
      <c r="E312" s="8" t="n">
        <v>10</v>
      </c>
      <c r="F312" s="8" t="n">
        <v>320</v>
      </c>
    </row>
    <row r="313">
      <c r="A313" s="12" t="inlineStr">
        <is>
          <t>WanZeru</t>
        </is>
      </c>
      <c r="B313" s="12" t="inlineStr">
        <is>
          <t>Team Liquid Academy</t>
        </is>
      </c>
      <c r="C313" s="12" t="inlineStr">
        <is>
          <t>Waylay</t>
        </is>
      </c>
      <c r="D313" s="12" t="n">
        <v>22</v>
      </c>
      <c r="E313" s="12" t="n">
        <v>10</v>
      </c>
      <c r="F313" s="12" t="n">
        <v>220</v>
      </c>
    </row>
    <row r="314">
      <c r="A314" s="8" t="inlineStr">
        <is>
          <t>Bishepss</t>
        </is>
      </c>
      <c r="B314" s="8" t="inlineStr">
        <is>
          <t>MIR</t>
        </is>
      </c>
      <c r="C314" s="8" t="inlineStr">
        <is>
          <t>Omen</t>
        </is>
      </c>
      <c r="D314" s="8" t="n">
        <v>112</v>
      </c>
      <c r="E314" s="8" t="n">
        <v>11</v>
      </c>
      <c r="F314" s="8" t="n">
        <v>1018.18</v>
      </c>
    </row>
    <row r="315">
      <c r="A315" s="12" t="inlineStr">
        <is>
          <t>Bishepss</t>
        </is>
      </c>
      <c r="B315" s="12" t="inlineStr">
        <is>
          <t>MIR</t>
        </is>
      </c>
      <c r="C315" s="12" t="inlineStr">
        <is>
          <t>Brimstone</t>
        </is>
      </c>
      <c r="D315" s="12" t="n">
        <v>70</v>
      </c>
      <c r="E315" s="12" t="n">
        <v>11</v>
      </c>
      <c r="F315" s="12" t="n">
        <v>636.36</v>
      </c>
    </row>
    <row r="316">
      <c r="A316" s="8" t="inlineStr">
        <is>
          <t>Bishepss</t>
        </is>
      </c>
      <c r="B316" s="8" t="inlineStr">
        <is>
          <t>MIR</t>
        </is>
      </c>
      <c r="C316" s="8" t="inlineStr">
        <is>
          <t>Astra</t>
        </is>
      </c>
      <c r="D316" s="8" t="n">
        <v>36</v>
      </c>
      <c r="E316" s="8" t="n">
        <v>11</v>
      </c>
      <c r="F316" s="8" t="n">
        <v>327.27</v>
      </c>
    </row>
    <row r="317">
      <c r="A317" s="12" t="inlineStr">
        <is>
          <t>prti</t>
        </is>
      </c>
      <c r="B317" s="12" t="inlineStr">
        <is>
          <t>Team Liquid Academy</t>
        </is>
      </c>
      <c r="C317" s="12" t="inlineStr">
        <is>
          <t>Omen</t>
        </is>
      </c>
      <c r="D317" s="12" t="n">
        <v>160</v>
      </c>
      <c r="E317" s="12" t="n">
        <v>10</v>
      </c>
      <c r="F317" s="12" t="n">
        <v>1600</v>
      </c>
    </row>
    <row r="318">
      <c r="A318" s="8" t="inlineStr">
        <is>
          <t>prti</t>
        </is>
      </c>
      <c r="B318" s="8" t="inlineStr">
        <is>
          <t>Team Liquid Academy</t>
        </is>
      </c>
      <c r="C318" s="8" t="inlineStr">
        <is>
          <t>Brimstone</t>
        </is>
      </c>
      <c r="D318" s="8" t="n">
        <v>20</v>
      </c>
      <c r="E318" s="8" t="n">
        <v>10</v>
      </c>
      <c r="F318" s="8" t="n">
        <v>200</v>
      </c>
    </row>
    <row r="319">
      <c r="A319" s="12" t="inlineStr">
        <is>
          <t>prti</t>
        </is>
      </c>
      <c r="B319" s="12" t="inlineStr">
        <is>
          <t>Team Liquid Academy</t>
        </is>
      </c>
      <c r="C319" s="12" t="inlineStr">
        <is>
          <t>Astra</t>
        </is>
      </c>
      <c r="D319" s="12" t="n">
        <v>20</v>
      </c>
      <c r="E319" s="12" t="n">
        <v>10</v>
      </c>
      <c r="F319" s="12" t="n">
        <v>200</v>
      </c>
    </row>
    <row r="320">
      <c r="A320" s="8" t="inlineStr">
        <is>
          <t>br1ckzl</t>
        </is>
      </c>
      <c r="B320" s="8" t="inlineStr">
        <is>
          <t>Stallions Esports</t>
        </is>
      </c>
      <c r="C320" s="8" t="inlineStr">
        <is>
          <t>Omen</t>
        </is>
      </c>
      <c r="D320" s="8" t="n">
        <v>55</v>
      </c>
      <c r="E320" s="8" t="n">
        <v>7</v>
      </c>
      <c r="F320" s="8" t="n">
        <v>785.71</v>
      </c>
    </row>
    <row r="321">
      <c r="A321" s="12" t="inlineStr">
        <is>
          <t>br1ckzl</t>
        </is>
      </c>
      <c r="B321" s="12" t="inlineStr">
        <is>
          <t>Stallions Esports</t>
        </is>
      </c>
      <c r="C321" s="12" t="inlineStr">
        <is>
          <t>Tejo</t>
        </is>
      </c>
      <c r="D321" s="12" t="n">
        <v>22</v>
      </c>
      <c r="E321" s="12" t="n">
        <v>7</v>
      </c>
      <c r="F321" s="12" t="n">
        <v>314.29</v>
      </c>
    </row>
    <row r="322">
      <c r="A322" s="8" t="inlineStr">
        <is>
          <t>br1ckzl</t>
        </is>
      </c>
      <c r="B322" s="8" t="inlineStr">
        <is>
          <t>Stallions Esports</t>
        </is>
      </c>
      <c r="C322" s="8" t="inlineStr">
        <is>
          <t>Astra</t>
        </is>
      </c>
      <c r="D322" s="8" t="n">
        <v>21</v>
      </c>
      <c r="E322" s="8" t="n">
        <v>7</v>
      </c>
      <c r="F322" s="8" t="n">
        <v>300</v>
      </c>
    </row>
    <row r="323">
      <c r="A323" s="12" t="inlineStr">
        <is>
          <t>br1ckzl</t>
        </is>
      </c>
      <c r="B323" s="12" t="inlineStr">
        <is>
          <t>Stallions Esports</t>
        </is>
      </c>
      <c r="C323" s="12" t="inlineStr">
        <is>
          <t>Fade</t>
        </is>
      </c>
      <c r="D323" s="12" t="n">
        <v>14</v>
      </c>
      <c r="E323" s="12" t="n">
        <v>7</v>
      </c>
      <c r="F323" s="12" t="n">
        <v>200</v>
      </c>
    </row>
    <row r="324">
      <c r="A324" s="8" t="inlineStr">
        <is>
          <t>br1ckzl</t>
        </is>
      </c>
      <c r="B324" s="8" t="inlineStr">
        <is>
          <t>Stallions Esports</t>
        </is>
      </c>
      <c r="C324" s="8" t="inlineStr">
        <is>
          <t>Jett</t>
        </is>
      </c>
      <c r="D324" s="8" t="n">
        <v>14</v>
      </c>
      <c r="E324" s="8" t="n">
        <v>7</v>
      </c>
      <c r="F324" s="8" t="n">
        <v>200</v>
      </c>
    </row>
    <row r="325">
      <c r="A325" s="12" t="inlineStr">
        <is>
          <t>kamo</t>
        </is>
      </c>
      <c r="B325" s="12" t="inlineStr">
        <is>
          <t>Team Liquid Academy</t>
        </is>
      </c>
      <c r="C325" s="12" t="inlineStr">
        <is>
          <t>Sova</t>
        </is>
      </c>
      <c r="D325" s="12" t="n">
        <v>46</v>
      </c>
      <c r="E325" s="12" t="n">
        <v>3</v>
      </c>
      <c r="F325" s="12" t="n">
        <v>1533.33</v>
      </c>
    </row>
    <row r="326">
      <c r="A326" s="8" t="inlineStr">
        <is>
          <t>kamo</t>
        </is>
      </c>
      <c r="B326" s="8" t="inlineStr">
        <is>
          <t>Team Liquid Academy</t>
        </is>
      </c>
      <c r="C326" s="8" t="inlineStr">
        <is>
          <t>Fade</t>
        </is>
      </c>
      <c r="D326" s="8" t="n">
        <v>26</v>
      </c>
      <c r="E326" s="8" t="n">
        <v>3</v>
      </c>
      <c r="F326" s="8" t="n">
        <v>866.67</v>
      </c>
    </row>
    <row r="327">
      <c r="A327" s="12" t="inlineStr">
        <is>
          <t>nAts</t>
        </is>
      </c>
      <c r="B327" s="12" t="inlineStr">
        <is>
          <t>Team Liquid Academy</t>
        </is>
      </c>
      <c r="C327" s="12" t="inlineStr">
        <is>
          <t>Killjoy</t>
        </is>
      </c>
      <c r="D327" s="12" t="n">
        <v>26</v>
      </c>
      <c r="E327" s="12" t="n">
        <v>3</v>
      </c>
      <c r="F327" s="12" t="n">
        <v>866.67</v>
      </c>
    </row>
    <row r="328">
      <c r="A328" s="8" t="inlineStr">
        <is>
          <t>nAts</t>
        </is>
      </c>
      <c r="B328" s="8" t="inlineStr">
        <is>
          <t>Team Liquid Academy</t>
        </is>
      </c>
      <c r="C328" s="8" t="inlineStr">
        <is>
          <t>Viper</t>
        </is>
      </c>
      <c r="D328" s="8" t="n">
        <v>24</v>
      </c>
      <c r="E328" s="8" t="n">
        <v>3</v>
      </c>
      <c r="F328" s="8" t="n">
        <v>800</v>
      </c>
    </row>
    <row r="329">
      <c r="A329" s="12" t="inlineStr">
        <is>
          <t>nAts</t>
        </is>
      </c>
      <c r="B329" s="12" t="inlineStr">
        <is>
          <t>Team Liquid Academy</t>
        </is>
      </c>
      <c r="C329" s="12" t="inlineStr">
        <is>
          <t>Astra</t>
        </is>
      </c>
      <c r="D329" s="12" t="n">
        <v>22</v>
      </c>
      <c r="E329" s="12" t="n">
        <v>3</v>
      </c>
      <c r="F329" s="12" t="n">
        <v>733.33</v>
      </c>
    </row>
    <row r="330">
      <c r="A330" s="8" t="inlineStr">
        <is>
          <t>MiniBoo</t>
        </is>
      </c>
      <c r="B330" s="8" t="inlineStr">
        <is>
          <t>Team Liquid Academy</t>
        </is>
      </c>
      <c r="C330" s="8" t="inlineStr">
        <is>
          <t>Yoru</t>
        </is>
      </c>
      <c r="D330" s="8" t="n">
        <v>50</v>
      </c>
      <c r="E330" s="8" t="n">
        <v>3</v>
      </c>
      <c r="F330" s="8" t="n">
        <v>1666.67</v>
      </c>
    </row>
    <row r="331">
      <c r="A331" s="12" t="inlineStr">
        <is>
          <t>MiniBoo</t>
        </is>
      </c>
      <c r="B331" s="12" t="inlineStr">
        <is>
          <t>Team Liquid Academy</t>
        </is>
      </c>
      <c r="C331" s="12" t="inlineStr">
        <is>
          <t>Waylay</t>
        </is>
      </c>
      <c r="D331" s="12" t="n">
        <v>22</v>
      </c>
      <c r="E331" s="12" t="n">
        <v>3</v>
      </c>
      <c r="F331" s="12" t="n">
        <v>733.33</v>
      </c>
    </row>
    <row r="332">
      <c r="A332" s="8" t="inlineStr">
        <is>
          <t>purp0</t>
        </is>
      </c>
      <c r="B332" s="8" t="inlineStr">
        <is>
          <t>Team Liquid Academy</t>
        </is>
      </c>
      <c r="C332" s="8" t="inlineStr">
        <is>
          <t>Waylay</t>
        </is>
      </c>
      <c r="D332" s="8" t="n">
        <v>26</v>
      </c>
      <c r="E332" s="8" t="n">
        <v>3</v>
      </c>
      <c r="F332" s="8" t="n">
        <v>866.67</v>
      </c>
    </row>
    <row r="333">
      <c r="A333" s="12" t="inlineStr">
        <is>
          <t>purp0</t>
        </is>
      </c>
      <c r="B333" s="12" t="inlineStr">
        <is>
          <t>Team Liquid Academy</t>
        </is>
      </c>
      <c r="C333" s="12" t="inlineStr">
        <is>
          <t>Jett</t>
        </is>
      </c>
      <c r="D333" s="12" t="n">
        <v>24</v>
      </c>
      <c r="E333" s="12" t="n">
        <v>3</v>
      </c>
      <c r="F333" s="12" t="n">
        <v>800</v>
      </c>
    </row>
    <row r="334">
      <c r="A334" s="8" t="inlineStr">
        <is>
          <t>purp0</t>
        </is>
      </c>
      <c r="B334" s="8" t="inlineStr">
        <is>
          <t>Team Liquid Academy</t>
        </is>
      </c>
      <c r="C334" s="8" t="inlineStr">
        <is>
          <t>KAY/O</t>
        </is>
      </c>
      <c r="D334" s="8" t="n">
        <v>22</v>
      </c>
      <c r="E334" s="8" t="n">
        <v>3</v>
      </c>
      <c r="F334" s="8" t="n">
        <v>733.33</v>
      </c>
    </row>
    <row r="335">
      <c r="A335" s="12" t="inlineStr">
        <is>
          <t>Saud</t>
        </is>
      </c>
      <c r="B335" s="12" t="inlineStr">
        <is>
          <t>Stallions Esports</t>
        </is>
      </c>
      <c r="C335" s="12" t="inlineStr">
        <is>
          <t>Waylay</t>
        </is>
      </c>
      <c r="D335" s="12" t="n">
        <v>39</v>
      </c>
      <c r="E335" s="12" t="n">
        <v>3</v>
      </c>
      <c r="F335" s="12" t="n">
        <v>1300</v>
      </c>
    </row>
    <row r="336">
      <c r="A336" s="8" t="inlineStr">
        <is>
          <t>Saud</t>
        </is>
      </c>
      <c r="B336" s="8" t="inlineStr">
        <is>
          <t>Stallions Esports</t>
        </is>
      </c>
      <c r="C336" s="8" t="inlineStr">
        <is>
          <t>Clove</t>
        </is>
      </c>
      <c r="D336" s="8" t="n">
        <v>26</v>
      </c>
      <c r="E336" s="8" t="n">
        <v>3</v>
      </c>
      <c r="F336" s="8" t="n">
        <v>866.67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333333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Team</t>
        </is>
      </c>
      <c r="B1" s="4" t="inlineStr">
        <is>
          <t>retake rW%</t>
        </is>
      </c>
      <c r="C1" s="4" t="inlineStr">
        <is>
          <t>postplant rW%</t>
        </is>
      </c>
    </row>
    <row r="2">
      <c r="A2" s="8" t="inlineStr">
        <is>
          <t>Barça eSports</t>
        </is>
      </c>
      <c r="B2" s="8" t="n">
        <v>0.4163</v>
      </c>
      <c r="C2" s="8" t="n">
        <v>0.6878</v>
      </c>
    </row>
    <row r="3">
      <c r="A3" s="12" t="inlineStr">
        <is>
          <t>Team Liquid Academy</t>
        </is>
      </c>
      <c r="B3" s="12" t="n">
        <v>0.4143</v>
      </c>
      <c r="C3" s="12" t="n">
        <v>0.8272</v>
      </c>
    </row>
    <row r="4">
      <c r="A4" s="8" t="inlineStr">
        <is>
          <t>Eintracht Frankfurt</t>
        </is>
      </c>
      <c r="B4" s="8" t="n">
        <v>0.3725</v>
      </c>
      <c r="C4" s="8" t="n">
        <v>0.7331</v>
      </c>
    </row>
    <row r="5">
      <c r="A5" s="12" t="inlineStr">
        <is>
          <t>FOKUS</t>
        </is>
      </c>
      <c r="B5" s="12" t="n">
        <v>0.3607</v>
      </c>
      <c r="C5" s="12" t="n">
        <v>0.7441</v>
      </c>
    </row>
    <row r="6">
      <c r="A6" s="8" t="inlineStr">
        <is>
          <t>UCAM Esports</t>
        </is>
      </c>
      <c r="B6" s="8" t="n">
        <v>0.3531</v>
      </c>
      <c r="C6" s="8" t="n">
        <v>0.7060999999999999</v>
      </c>
    </row>
    <row r="7">
      <c r="A7" s="12" t="inlineStr">
        <is>
          <t>Misa Esports</t>
        </is>
      </c>
      <c r="B7" s="12" t="n">
        <v>0.342</v>
      </c>
      <c r="C7" s="12" t="n">
        <v>0.7941</v>
      </c>
    </row>
    <row r="8">
      <c r="A8" s="8" t="inlineStr">
        <is>
          <t>MIR</t>
        </is>
      </c>
      <c r="B8" s="8" t="n">
        <v>0.3281</v>
      </c>
      <c r="C8" s="8" t="n">
        <v>0.6629</v>
      </c>
    </row>
    <row r="9">
      <c r="A9" s="12" t="inlineStr">
        <is>
          <t>Enterprise Esports</t>
        </is>
      </c>
      <c r="B9" s="12" t="n">
        <v>0.3106</v>
      </c>
      <c r="C9" s="12" t="n">
        <v>0.837</v>
      </c>
    </row>
    <row r="10">
      <c r="A10" s="8" t="inlineStr">
        <is>
          <t>GnG Amazigh</t>
        </is>
      </c>
      <c r="B10" s="8" t="n">
        <v>0.3047</v>
      </c>
      <c r="C10" s="8" t="n">
        <v>0.7054</v>
      </c>
    </row>
    <row r="11">
      <c r="A11" s="12" t="inlineStr">
        <is>
          <t>Mandatory</t>
        </is>
      </c>
      <c r="B11" s="12" t="n">
        <v>0.3</v>
      </c>
      <c r="C11" s="12" t="n">
        <v>0.7422</v>
      </c>
    </row>
    <row r="12">
      <c r="A12" s="8" t="inlineStr">
        <is>
          <t>S2G Esports</t>
        </is>
      </c>
      <c r="B12" s="8" t="n">
        <v>0.2982</v>
      </c>
      <c r="C12" s="8" t="n">
        <v>0.6943</v>
      </c>
    </row>
    <row r="13">
      <c r="A13" s="12" t="inlineStr">
        <is>
          <t>Joblife</t>
        </is>
      </c>
      <c r="B13" s="12" t="n">
        <v>0.2763</v>
      </c>
      <c r="C13" s="12" t="n">
        <v>0.7924</v>
      </c>
    </row>
    <row r="14">
      <c r="A14" s="8" t="inlineStr">
        <is>
          <t>Pixel Lumina</t>
        </is>
      </c>
      <c r="B14" s="8" t="n">
        <v>0.266</v>
      </c>
      <c r="C14" s="8" t="n">
        <v>0.75</v>
      </c>
    </row>
    <row r="15">
      <c r="A15" s="12" t="inlineStr">
        <is>
          <t>Stallions Esports</t>
        </is>
      </c>
      <c r="B15" s="12" t="n">
        <v>0.2339</v>
      </c>
      <c r="C15" s="12" t="n">
        <v>0.7981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333333"/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Team</t>
        </is>
      </c>
      <c r="B1" s="4" t="inlineStr">
        <is>
          <t>Map</t>
        </is>
      </c>
      <c r="C1" s="4" t="inlineStr">
        <is>
          <t>retake rW%</t>
        </is>
      </c>
      <c r="D1" s="4" t="inlineStr">
        <is>
          <t>post rW%</t>
        </is>
      </c>
    </row>
    <row r="2">
      <c r="A2" s="8" t="inlineStr">
        <is>
          <t>FOKUS</t>
        </is>
      </c>
      <c r="B2" s="8" t="inlineStr">
        <is>
          <t>Abyss</t>
        </is>
      </c>
      <c r="C2" s="8" t="n">
        <v>0.3881</v>
      </c>
      <c r="D2" s="8" t="n">
        <v>0.7312</v>
      </c>
    </row>
    <row r="3">
      <c r="A3" s="12" t="inlineStr">
        <is>
          <t>FOKUS</t>
        </is>
      </c>
      <c r="B3" s="12" t="inlineStr">
        <is>
          <t>Bind</t>
        </is>
      </c>
      <c r="C3" s="12" t="n">
        <v>0.617</v>
      </c>
      <c r="D3" s="12" t="n">
        <v>0.7391</v>
      </c>
    </row>
    <row r="4">
      <c r="A4" s="8" t="inlineStr">
        <is>
          <t>FOKUS</t>
        </is>
      </c>
      <c r="B4" s="8" t="inlineStr">
        <is>
          <t>Breeze</t>
        </is>
      </c>
      <c r="C4" s="8" t="n">
        <v>0.2778</v>
      </c>
      <c r="D4" s="8" t="n">
        <v>0.7143</v>
      </c>
    </row>
    <row r="5">
      <c r="A5" s="12" t="inlineStr">
        <is>
          <t>FOKUS</t>
        </is>
      </c>
      <c r="B5" s="12" t="inlineStr">
        <is>
          <t>Corrode</t>
        </is>
      </c>
      <c r="C5" s="12" t="n">
        <v>0.25</v>
      </c>
      <c r="D5" s="12" t="n">
        <v>0.7755</v>
      </c>
    </row>
    <row r="6">
      <c r="A6" s="8" t="inlineStr">
        <is>
          <t>FOKUS</t>
        </is>
      </c>
      <c r="B6" s="8" t="inlineStr">
        <is>
          <t>Haven</t>
        </is>
      </c>
      <c r="C6" s="8" t="n">
        <v>0.3571</v>
      </c>
      <c r="D6" s="8" t="n">
        <v>0.7556</v>
      </c>
    </row>
    <row r="7">
      <c r="A7" s="12" t="inlineStr">
        <is>
          <t>FOKUS</t>
        </is>
      </c>
      <c r="B7" s="12" t="inlineStr">
        <is>
          <t>Pearl</t>
        </is>
      </c>
      <c r="C7" s="12" t="n">
        <v>0.1875</v>
      </c>
      <c r="D7" s="12" t="n">
        <v>0.75</v>
      </c>
    </row>
    <row r="8">
      <c r="A8" s="8" t="inlineStr">
        <is>
          <t>FOKUS</t>
        </is>
      </c>
      <c r="B8" s="8" t="inlineStr">
        <is>
          <t>Split</t>
        </is>
      </c>
      <c r="C8" s="8" t="n">
        <v>0.2727</v>
      </c>
      <c r="D8" s="8" t="n">
        <v>0.7879</v>
      </c>
    </row>
    <row r="9">
      <c r="A9" s="12" t="inlineStr">
        <is>
          <t>Eintracht Frankfurt</t>
        </is>
      </c>
      <c r="B9" s="12" t="inlineStr">
        <is>
          <t>Abyss</t>
        </is>
      </c>
      <c r="C9" s="12" t="n">
        <v>0.3137</v>
      </c>
      <c r="D9" s="12" t="n">
        <v>0.7167</v>
      </c>
    </row>
    <row r="10">
      <c r="A10" s="8" t="inlineStr">
        <is>
          <t>Eintracht Frankfurt</t>
        </is>
      </c>
      <c r="B10" s="8" t="inlineStr">
        <is>
          <t>Bind</t>
        </is>
      </c>
      <c r="C10" s="8" t="n">
        <v>0.4328</v>
      </c>
      <c r="D10" s="8" t="n">
        <v>0.6833</v>
      </c>
    </row>
    <row r="11">
      <c r="A11" s="12" t="inlineStr">
        <is>
          <t>Eintracht Frankfurt</t>
        </is>
      </c>
      <c r="B11" s="12" t="inlineStr">
        <is>
          <t>Breeze</t>
        </is>
      </c>
      <c r="C11" s="12" t="n">
        <v>0.3429</v>
      </c>
      <c r="D11" s="12" t="n">
        <v>0.8113</v>
      </c>
    </row>
    <row r="12">
      <c r="A12" s="8" t="inlineStr">
        <is>
          <t>Eintracht Frankfurt</t>
        </is>
      </c>
      <c r="B12" s="8" t="inlineStr">
        <is>
          <t>Corrode</t>
        </is>
      </c>
      <c r="C12" s="8" t="n">
        <v>0.3125</v>
      </c>
      <c r="D12" s="8" t="n">
        <v>0.6897</v>
      </c>
    </row>
    <row r="13">
      <c r="A13" s="12" t="inlineStr">
        <is>
          <t>Eintracht Frankfurt</t>
        </is>
      </c>
      <c r="B13" s="12" t="inlineStr">
        <is>
          <t>Haven</t>
        </is>
      </c>
      <c r="C13" s="12" t="n">
        <v>0.383</v>
      </c>
      <c r="D13" s="12" t="n">
        <v>0.7635999999999999</v>
      </c>
    </row>
    <row r="14">
      <c r="A14" s="8" t="inlineStr">
        <is>
          <t>Eintracht Frankfurt</t>
        </is>
      </c>
      <c r="B14" s="8" t="inlineStr">
        <is>
          <t>Pearl</t>
        </is>
      </c>
      <c r="C14" s="8" t="n">
        <v>0.3846</v>
      </c>
      <c r="D14" s="8" t="n">
        <v>0.7174</v>
      </c>
    </row>
    <row r="15">
      <c r="A15" s="12" t="inlineStr">
        <is>
          <t>Eintracht Frankfurt</t>
        </is>
      </c>
      <c r="B15" s="12" t="inlineStr">
        <is>
          <t>Split</t>
        </is>
      </c>
      <c r="C15" s="12" t="n">
        <v>0.4</v>
      </c>
      <c r="D15" s="12" t="n">
        <v>0.7368</v>
      </c>
    </row>
    <row r="16">
      <c r="A16" s="8" t="inlineStr">
        <is>
          <t>Joblife</t>
        </is>
      </c>
      <c r="B16" s="8" t="inlineStr">
        <is>
          <t>Abyss</t>
        </is>
      </c>
      <c r="C16" s="8" t="n">
        <v>0.3023</v>
      </c>
      <c r="D16" s="8" t="n">
        <v>0.8431</v>
      </c>
    </row>
    <row r="17">
      <c r="A17" s="12" t="inlineStr">
        <is>
          <t>Joblife</t>
        </is>
      </c>
      <c r="B17" s="12" t="inlineStr">
        <is>
          <t>Bind</t>
        </is>
      </c>
      <c r="C17" s="12" t="n">
        <v>0.3</v>
      </c>
      <c r="D17" s="12" t="n">
        <v>0.8</v>
      </c>
    </row>
    <row r="18">
      <c r="A18" s="8" t="inlineStr">
        <is>
          <t>Joblife</t>
        </is>
      </c>
      <c r="B18" s="8" t="inlineStr">
        <is>
          <t>Breeze</t>
        </is>
      </c>
      <c r="C18" s="8" t="n">
        <v>0.125</v>
      </c>
      <c r="D18" s="8" t="n">
        <v>0.6667</v>
      </c>
    </row>
    <row r="19">
      <c r="A19" s="12" t="inlineStr">
        <is>
          <t>Joblife</t>
        </is>
      </c>
      <c r="B19" s="12" t="inlineStr">
        <is>
          <t>Corrode</t>
        </is>
      </c>
      <c r="C19" s="12" t="n">
        <v>0.3208</v>
      </c>
      <c r="D19" s="12" t="n">
        <v>0.8269</v>
      </c>
    </row>
    <row r="20">
      <c r="A20" s="8" t="inlineStr">
        <is>
          <t>Joblife</t>
        </is>
      </c>
      <c r="B20" s="8" t="inlineStr">
        <is>
          <t>Haven</t>
        </is>
      </c>
      <c r="C20" s="8" t="n">
        <v>0.2162</v>
      </c>
      <c r="D20" s="8" t="n">
        <v>0.7347</v>
      </c>
    </row>
    <row r="21">
      <c r="A21" s="12" t="inlineStr">
        <is>
          <t>Joblife</t>
        </is>
      </c>
      <c r="B21" s="12" t="inlineStr">
        <is>
          <t>Pearl</t>
        </is>
      </c>
      <c r="C21" s="12" t="n">
        <v>0.2326</v>
      </c>
      <c r="D21" s="12" t="n">
        <v>0.6944</v>
      </c>
    </row>
    <row r="22">
      <c r="A22" s="8" t="inlineStr">
        <is>
          <t>Joblife</t>
        </is>
      </c>
      <c r="B22" s="8" t="inlineStr">
        <is>
          <t>Split</t>
        </is>
      </c>
      <c r="C22" s="8" t="n">
        <v>0.3235</v>
      </c>
      <c r="D22" s="8" t="n">
        <v>0.875</v>
      </c>
    </row>
    <row r="23">
      <c r="A23" s="12" t="inlineStr">
        <is>
          <t>Mandatory</t>
        </is>
      </c>
      <c r="B23" s="12" t="inlineStr">
        <is>
          <t>Abyss</t>
        </is>
      </c>
      <c r="C23" s="12" t="n">
        <v>0.3333</v>
      </c>
      <c r="D23" s="12" t="n">
        <v>0.7857</v>
      </c>
    </row>
    <row r="24">
      <c r="A24" s="8" t="inlineStr">
        <is>
          <t>Mandatory</t>
        </is>
      </c>
      <c r="B24" s="8" t="inlineStr">
        <is>
          <t>Bind</t>
        </is>
      </c>
      <c r="C24" s="8" t="n">
        <v>0.2</v>
      </c>
      <c r="D24" s="8" t="n">
        <v>0.7</v>
      </c>
    </row>
    <row r="25">
      <c r="A25" s="12" t="inlineStr">
        <is>
          <t>Mandatory</t>
        </is>
      </c>
      <c r="B25" s="12" t="inlineStr">
        <is>
          <t>Breeze</t>
        </is>
      </c>
      <c r="C25" s="12" t="n">
        <v>0.4</v>
      </c>
      <c r="D25" s="12" t="n">
        <v>0.75</v>
      </c>
    </row>
    <row r="26">
      <c r="A26" s="8" t="inlineStr">
        <is>
          <t>Mandatory</t>
        </is>
      </c>
      <c r="B26" s="8" t="inlineStr">
        <is>
          <t>Corrode</t>
        </is>
      </c>
      <c r="C26" s="8" t="n">
        <v>0.2162</v>
      </c>
      <c r="D26" s="8" t="n">
        <v>0.7119</v>
      </c>
    </row>
    <row r="27">
      <c r="A27" s="12" t="inlineStr">
        <is>
          <t>Mandatory</t>
        </is>
      </c>
      <c r="B27" s="12" t="inlineStr">
        <is>
          <t>Haven</t>
        </is>
      </c>
      <c r="C27" s="12" t="n">
        <v>0.4737</v>
      </c>
      <c r="D27" s="12" t="n">
        <v>0.7808</v>
      </c>
    </row>
    <row r="28">
      <c r="A28" s="8" t="inlineStr">
        <is>
          <t>Mandatory</t>
        </is>
      </c>
      <c r="B28" s="8" t="inlineStr">
        <is>
          <t>Pearl</t>
        </is>
      </c>
      <c r="C28" s="8" t="n">
        <v>0.1579</v>
      </c>
      <c r="D28" s="8" t="n">
        <v>0.72</v>
      </c>
    </row>
    <row r="29">
      <c r="A29" s="12" t="inlineStr">
        <is>
          <t>Mandatory</t>
        </is>
      </c>
      <c r="B29" s="12" t="inlineStr">
        <is>
          <t>Split</t>
        </is>
      </c>
      <c r="C29" s="12" t="n">
        <v>0.1739</v>
      </c>
      <c r="D29" s="12" t="n">
        <v>0.6897</v>
      </c>
    </row>
    <row r="30">
      <c r="A30" s="8" t="inlineStr">
        <is>
          <t>Enterprise Esports</t>
        </is>
      </c>
      <c r="B30" s="8" t="inlineStr">
        <is>
          <t>Abyss</t>
        </is>
      </c>
      <c r="C30" s="8" t="n">
        <v>0</v>
      </c>
      <c r="D30" s="8" t="n">
        <v>0</v>
      </c>
    </row>
    <row r="31">
      <c r="A31" s="12" t="inlineStr">
        <is>
          <t>Enterprise Esports</t>
        </is>
      </c>
      <c r="B31" s="12" t="inlineStr">
        <is>
          <t>Bind</t>
        </is>
      </c>
      <c r="C31" s="12" t="n">
        <v>0.2632</v>
      </c>
      <c r="D31" s="12" t="n">
        <v>0.8163</v>
      </c>
    </row>
    <row r="32">
      <c r="A32" s="8" t="inlineStr">
        <is>
          <t>Enterprise Esports</t>
        </is>
      </c>
      <c r="B32" s="8" t="inlineStr">
        <is>
          <t>Breeze</t>
        </is>
      </c>
      <c r="C32" s="8" t="n">
        <v>0</v>
      </c>
      <c r="D32" s="8" t="n">
        <v>0</v>
      </c>
    </row>
    <row r="33">
      <c r="A33" s="12" t="inlineStr">
        <is>
          <t>Enterprise Esports</t>
        </is>
      </c>
      <c r="B33" s="12" t="inlineStr">
        <is>
          <t>Corrode</t>
        </is>
      </c>
      <c r="C33" s="12" t="n">
        <v>0.1875</v>
      </c>
      <c r="D33" s="12" t="n">
        <v>0.7949000000000001</v>
      </c>
    </row>
    <row r="34">
      <c r="A34" s="8" t="inlineStr">
        <is>
          <t>Enterprise Esports</t>
        </is>
      </c>
      <c r="B34" s="8" t="inlineStr">
        <is>
          <t>Haven</t>
        </is>
      </c>
      <c r="C34" s="8" t="n">
        <v>0.3043</v>
      </c>
      <c r="D34" s="8" t="n">
        <v>0.8519</v>
      </c>
    </row>
    <row r="35">
      <c r="A35" s="12" t="inlineStr">
        <is>
          <t>Enterprise Esports</t>
        </is>
      </c>
      <c r="B35" s="12" t="inlineStr">
        <is>
          <t>Pearl</t>
        </is>
      </c>
      <c r="C35" s="12" t="n">
        <v>0.4783</v>
      </c>
      <c r="D35" s="12" t="n">
        <v>0.8571</v>
      </c>
    </row>
    <row r="36">
      <c r="A36" s="8" t="inlineStr">
        <is>
          <t>Enterprise Esports</t>
        </is>
      </c>
      <c r="B36" s="8" t="inlineStr">
        <is>
          <t>Split</t>
        </is>
      </c>
      <c r="C36" s="8" t="n">
        <v>0.4231</v>
      </c>
      <c r="D36" s="8" t="n">
        <v>0.8889</v>
      </c>
    </row>
    <row r="37">
      <c r="A37" s="12" t="inlineStr">
        <is>
          <t>Team Liquid Academy</t>
        </is>
      </c>
      <c r="B37" s="12" t="inlineStr">
        <is>
          <t>Abyss</t>
        </is>
      </c>
      <c r="C37" s="12" t="n">
        <v>0.1111</v>
      </c>
      <c r="D37" s="12" t="n">
        <v>0.75</v>
      </c>
    </row>
    <row r="38">
      <c r="A38" s="8" t="inlineStr">
        <is>
          <t>Team Liquid Academy</t>
        </is>
      </c>
      <c r="B38" s="8" t="inlineStr">
        <is>
          <t>Bind</t>
        </is>
      </c>
      <c r="C38" s="8" t="n">
        <v>0.5</v>
      </c>
      <c r="D38" s="8" t="n">
        <v>1</v>
      </c>
    </row>
    <row r="39">
      <c r="A39" s="12" t="inlineStr">
        <is>
          <t>Team Liquid Academy</t>
        </is>
      </c>
      <c r="B39" s="12" t="inlineStr">
        <is>
          <t>Breeze</t>
        </is>
      </c>
      <c r="C39" s="12" t="n">
        <v>0.3333</v>
      </c>
      <c r="D39" s="12" t="n">
        <v>0.9</v>
      </c>
    </row>
    <row r="40">
      <c r="A40" s="8" t="inlineStr">
        <is>
          <t>Team Liquid Academy</t>
        </is>
      </c>
      <c r="B40" s="8" t="inlineStr">
        <is>
          <t>Corrode</t>
        </is>
      </c>
      <c r="C40" s="8" t="n">
        <v>0.4302</v>
      </c>
      <c r="D40" s="8" t="n">
        <v>0.8235</v>
      </c>
    </row>
    <row r="41">
      <c r="A41" s="12" t="inlineStr">
        <is>
          <t>Team Liquid Academy</t>
        </is>
      </c>
      <c r="B41" s="12" t="inlineStr">
        <is>
          <t>Haven</t>
        </is>
      </c>
      <c r="C41" s="12" t="n">
        <v>0.5312</v>
      </c>
      <c r="D41" s="12" t="n">
        <v>0.8182</v>
      </c>
    </row>
    <row r="42">
      <c r="A42" s="8" t="inlineStr">
        <is>
          <t>Team Liquid Academy</t>
        </is>
      </c>
      <c r="B42" s="8" t="inlineStr">
        <is>
          <t>Pearl</t>
        </is>
      </c>
      <c r="C42" s="8" t="n">
        <v>0.3803</v>
      </c>
      <c r="D42" s="8" t="n">
        <v>0.8475</v>
      </c>
    </row>
    <row r="43">
      <c r="A43" s="12" t="inlineStr">
        <is>
          <t>Team Liquid Academy</t>
        </is>
      </c>
      <c r="B43" s="12" t="inlineStr">
        <is>
          <t>Split</t>
        </is>
      </c>
      <c r="C43" s="12" t="n">
        <v>0.4643</v>
      </c>
      <c r="D43" s="12" t="n">
        <v>0.75</v>
      </c>
    </row>
    <row r="44">
      <c r="A44" s="8" t="inlineStr">
        <is>
          <t>Pixel Lumina</t>
        </is>
      </c>
      <c r="B44" s="8" t="inlineStr">
        <is>
          <t>Abyss</t>
        </is>
      </c>
      <c r="C44" s="8" t="n">
        <v>0</v>
      </c>
      <c r="D44" s="8" t="n">
        <v>0</v>
      </c>
    </row>
    <row r="45">
      <c r="A45" s="12" t="inlineStr">
        <is>
          <t>Pixel Lumina</t>
        </is>
      </c>
      <c r="B45" s="12" t="inlineStr">
        <is>
          <t>Bind</t>
        </is>
      </c>
      <c r="C45" s="12" t="n">
        <v>0.3333</v>
      </c>
      <c r="D45" s="12" t="n">
        <v>0.913</v>
      </c>
    </row>
    <row r="46">
      <c r="A46" s="8" t="inlineStr">
        <is>
          <t>Pixel Lumina</t>
        </is>
      </c>
      <c r="B46" s="8" t="inlineStr">
        <is>
          <t>Breeze</t>
        </is>
      </c>
      <c r="C46" s="8" t="n">
        <v>0.2667</v>
      </c>
      <c r="D46" s="8" t="n">
        <v>0.6364</v>
      </c>
    </row>
    <row r="47">
      <c r="A47" s="12" t="inlineStr">
        <is>
          <t>Pixel Lumina</t>
        </is>
      </c>
      <c r="B47" s="12" t="inlineStr">
        <is>
          <t>Corrode</t>
        </is>
      </c>
      <c r="C47" s="12" t="n">
        <v>0</v>
      </c>
      <c r="D47" s="12" t="n">
        <v>0</v>
      </c>
    </row>
    <row r="48">
      <c r="A48" s="8" t="inlineStr">
        <is>
          <t>Pixel Lumina</t>
        </is>
      </c>
      <c r="B48" s="8" t="inlineStr">
        <is>
          <t>Haven</t>
        </is>
      </c>
      <c r="C48" s="8" t="n">
        <v>0</v>
      </c>
      <c r="D48" s="8" t="n">
        <v>0</v>
      </c>
    </row>
    <row r="49">
      <c r="A49" s="12" t="inlineStr">
        <is>
          <t>Pixel Lumina</t>
        </is>
      </c>
      <c r="B49" s="12" t="inlineStr">
        <is>
          <t>Pearl</t>
        </is>
      </c>
      <c r="C49" s="12" t="n">
        <v>0.1667</v>
      </c>
      <c r="D49" s="12" t="n">
        <v>0.7143</v>
      </c>
    </row>
    <row r="50">
      <c r="A50" s="8" t="inlineStr">
        <is>
          <t>Pixel Lumina</t>
        </is>
      </c>
      <c r="B50" s="8" t="inlineStr">
        <is>
          <t>Split</t>
        </is>
      </c>
      <c r="C50" s="8" t="n">
        <v>0.2647</v>
      </c>
      <c r="D50" s="8" t="n">
        <v>0.6944</v>
      </c>
    </row>
    <row r="51">
      <c r="A51" s="12" t="inlineStr">
        <is>
          <t>MIR</t>
        </is>
      </c>
      <c r="B51" s="12" t="inlineStr">
        <is>
          <t>Abyss</t>
        </is>
      </c>
      <c r="C51" s="12" t="n">
        <v>0.3333</v>
      </c>
      <c r="D51" s="12" t="n">
        <v>0.8182</v>
      </c>
    </row>
    <row r="52">
      <c r="A52" s="8" t="inlineStr">
        <is>
          <t>MIR</t>
        </is>
      </c>
      <c r="B52" s="8" t="inlineStr">
        <is>
          <t>Bind</t>
        </is>
      </c>
      <c r="C52" s="8" t="n">
        <v>0.3158</v>
      </c>
      <c r="D52" s="8" t="n">
        <v>0.5769</v>
      </c>
    </row>
    <row r="53">
      <c r="A53" s="12" t="inlineStr">
        <is>
          <t>MIR</t>
        </is>
      </c>
      <c r="B53" s="12" t="inlineStr">
        <is>
          <t>Breeze</t>
        </is>
      </c>
      <c r="C53" s="12" t="n">
        <v>0.3636</v>
      </c>
      <c r="D53" s="12" t="n">
        <v>0.7407</v>
      </c>
    </row>
    <row r="54">
      <c r="A54" s="8" t="inlineStr">
        <is>
          <t>MIR</t>
        </is>
      </c>
      <c r="B54" s="8" t="inlineStr">
        <is>
          <t>Corrode</t>
        </is>
      </c>
      <c r="C54" s="8" t="n">
        <v>0.3333</v>
      </c>
      <c r="D54" s="8" t="n">
        <v>0.1667</v>
      </c>
    </row>
    <row r="55">
      <c r="A55" s="12" t="inlineStr">
        <is>
          <t>MIR</t>
        </is>
      </c>
      <c r="B55" s="12" t="inlineStr">
        <is>
          <t>Haven</t>
        </is>
      </c>
      <c r="C55" s="12" t="n">
        <v>0.3</v>
      </c>
      <c r="D55" s="12" t="n">
        <v>0.9091</v>
      </c>
    </row>
    <row r="56">
      <c r="A56" s="8" t="inlineStr">
        <is>
          <t>MIR</t>
        </is>
      </c>
      <c r="B56" s="8" t="inlineStr">
        <is>
          <t>Pearl</t>
        </is>
      </c>
      <c r="C56" s="8" t="n">
        <v>0</v>
      </c>
      <c r="D56" s="8" t="n">
        <v>0</v>
      </c>
    </row>
    <row r="57">
      <c r="A57" s="12" t="inlineStr">
        <is>
          <t>MIR</t>
        </is>
      </c>
      <c r="B57" s="12" t="inlineStr">
        <is>
          <t>Split</t>
        </is>
      </c>
      <c r="C57" s="12" t="n">
        <v>0.2857</v>
      </c>
      <c r="D57" s="12" t="n">
        <v>0.5</v>
      </c>
    </row>
    <row r="58">
      <c r="A58" s="8" t="inlineStr">
        <is>
          <t>Barça eSports</t>
        </is>
      </c>
      <c r="B58" s="8" t="inlineStr">
        <is>
          <t>Abyss</t>
        </is>
      </c>
      <c r="C58" s="8" t="n">
        <v>0.4</v>
      </c>
      <c r="D58" s="8" t="n">
        <v>0.6364</v>
      </c>
    </row>
    <row r="59">
      <c r="A59" s="12" t="inlineStr">
        <is>
          <t>Barça eSports</t>
        </is>
      </c>
      <c r="B59" s="12" t="inlineStr">
        <is>
          <t>Bind</t>
        </is>
      </c>
      <c r="C59" s="12" t="n">
        <v>0.4688</v>
      </c>
      <c r="D59" s="12" t="n">
        <v>0.6364</v>
      </c>
    </row>
    <row r="60">
      <c r="A60" s="8" t="inlineStr">
        <is>
          <t>Barça eSports</t>
        </is>
      </c>
      <c r="B60" s="8" t="inlineStr">
        <is>
          <t>Breeze</t>
        </is>
      </c>
      <c r="C60" s="8" t="n">
        <v>0.375</v>
      </c>
      <c r="D60" s="8" t="n">
        <v>0.7778</v>
      </c>
    </row>
    <row r="61">
      <c r="A61" s="12" t="inlineStr">
        <is>
          <t>Barça eSports</t>
        </is>
      </c>
      <c r="B61" s="12" t="inlineStr">
        <is>
          <t>Corrode</t>
        </is>
      </c>
      <c r="C61" s="12" t="n">
        <v>0.2222</v>
      </c>
      <c r="D61" s="12" t="n">
        <v>0.5625</v>
      </c>
    </row>
    <row r="62">
      <c r="A62" s="8" t="inlineStr">
        <is>
          <t>Barça eSports</t>
        </is>
      </c>
      <c r="B62" s="8" t="inlineStr">
        <is>
          <t>Haven</t>
        </is>
      </c>
      <c r="C62" s="8" t="n">
        <v>0.5238</v>
      </c>
      <c r="D62" s="8" t="n">
        <v>0.8333</v>
      </c>
    </row>
    <row r="63">
      <c r="A63" s="12" t="inlineStr">
        <is>
          <t>Barça eSports</t>
        </is>
      </c>
      <c r="B63" s="12" t="inlineStr">
        <is>
          <t>Pearl</t>
        </is>
      </c>
      <c r="C63" s="12" t="n">
        <v>0.4872</v>
      </c>
      <c r="D63" s="12" t="n">
        <v>0.5758</v>
      </c>
    </row>
    <row r="64">
      <c r="A64" s="8" t="inlineStr">
        <is>
          <t>Barça eSports</t>
        </is>
      </c>
      <c r="B64" s="8" t="inlineStr">
        <is>
          <t>Split</t>
        </is>
      </c>
      <c r="C64" s="8" t="n">
        <v>0.3288</v>
      </c>
      <c r="D64" s="8" t="n">
        <v>0.75</v>
      </c>
    </row>
    <row r="65">
      <c r="A65" s="12" t="inlineStr">
        <is>
          <t>UCAM Esports</t>
        </is>
      </c>
      <c r="B65" s="12" t="inlineStr">
        <is>
          <t>Abyss</t>
        </is>
      </c>
      <c r="C65" s="12" t="n">
        <v>0.4091</v>
      </c>
      <c r="D65" s="12" t="n">
        <v>0.5385</v>
      </c>
    </row>
    <row r="66">
      <c r="A66" s="8" t="inlineStr">
        <is>
          <t>UCAM Esports</t>
        </is>
      </c>
      <c r="B66" s="8" t="inlineStr">
        <is>
          <t>Bind</t>
        </is>
      </c>
      <c r="C66" s="8" t="n">
        <v>0.2048</v>
      </c>
      <c r="D66" s="8" t="n">
        <v>0.6667</v>
      </c>
    </row>
    <row r="67">
      <c r="A67" s="12" t="inlineStr">
        <is>
          <t>UCAM Esports</t>
        </is>
      </c>
      <c r="B67" s="12" t="inlineStr">
        <is>
          <t>Breeze</t>
        </is>
      </c>
      <c r="C67" s="12" t="n">
        <v>0.3077</v>
      </c>
      <c r="D67" s="12" t="n">
        <v>0.6364</v>
      </c>
    </row>
    <row r="68">
      <c r="A68" s="8" t="inlineStr">
        <is>
          <t>UCAM Esports</t>
        </is>
      </c>
      <c r="B68" s="8" t="inlineStr">
        <is>
          <t>Corrode</t>
        </is>
      </c>
      <c r="C68" s="8" t="n">
        <v>0.4211</v>
      </c>
      <c r="D68" s="8" t="n">
        <v>0.7841</v>
      </c>
    </row>
    <row r="69">
      <c r="A69" s="12" t="inlineStr">
        <is>
          <t>UCAM Esports</t>
        </is>
      </c>
      <c r="B69" s="12" t="inlineStr">
        <is>
          <t>Haven</t>
        </is>
      </c>
      <c r="C69" s="12" t="n">
        <v>0.4342</v>
      </c>
      <c r="D69" s="12" t="n">
        <v>0.7595</v>
      </c>
    </row>
    <row r="70">
      <c r="A70" s="8" t="inlineStr">
        <is>
          <t>UCAM Esports</t>
        </is>
      </c>
      <c r="B70" s="8" t="inlineStr">
        <is>
          <t>Pearl</t>
        </is>
      </c>
      <c r="C70" s="8" t="n">
        <v>0.6429</v>
      </c>
      <c r="D70" s="8" t="n">
        <v>0.5238</v>
      </c>
    </row>
    <row r="71">
      <c r="A71" s="12" t="inlineStr">
        <is>
          <t>UCAM Esports</t>
        </is>
      </c>
      <c r="B71" s="12" t="inlineStr">
        <is>
          <t>Split</t>
        </is>
      </c>
      <c r="C71" s="12" t="n">
        <v>0.25</v>
      </c>
      <c r="D71" s="12" t="n">
        <v>0.6786</v>
      </c>
    </row>
    <row r="72">
      <c r="A72" s="8" t="inlineStr">
        <is>
          <t>Misa Esports</t>
        </is>
      </c>
      <c r="B72" s="8" t="inlineStr">
        <is>
          <t>Abyss</t>
        </is>
      </c>
      <c r="C72" s="8" t="n">
        <v>0.4643</v>
      </c>
      <c r="D72" s="8" t="n">
        <v>0.9</v>
      </c>
    </row>
    <row r="73">
      <c r="A73" s="12" t="inlineStr">
        <is>
          <t>Misa Esports</t>
        </is>
      </c>
      <c r="B73" s="12" t="inlineStr">
        <is>
          <t>Bind</t>
        </is>
      </c>
      <c r="C73" s="12" t="n">
        <v>0.3333</v>
      </c>
      <c r="D73" s="12" t="n">
        <v>0.8</v>
      </c>
    </row>
    <row r="74">
      <c r="A74" s="8" t="inlineStr">
        <is>
          <t>Misa Esports</t>
        </is>
      </c>
      <c r="B74" s="8" t="inlineStr">
        <is>
          <t>Breeze</t>
        </is>
      </c>
      <c r="C74" s="8" t="n">
        <v>0.5</v>
      </c>
      <c r="D74" s="8" t="n">
        <v>0.7333</v>
      </c>
    </row>
    <row r="75">
      <c r="A75" s="12" t="inlineStr">
        <is>
          <t>Misa Esports</t>
        </is>
      </c>
      <c r="B75" s="12" t="inlineStr">
        <is>
          <t>Corrode</t>
        </is>
      </c>
      <c r="C75" s="12" t="n">
        <v>0.4074</v>
      </c>
      <c r="D75" s="12" t="n">
        <v>0.6153999999999999</v>
      </c>
    </row>
    <row r="76">
      <c r="A76" s="8" t="inlineStr">
        <is>
          <t>Misa Esports</t>
        </is>
      </c>
      <c r="B76" s="8" t="inlineStr">
        <is>
          <t>Haven</t>
        </is>
      </c>
      <c r="C76" s="8" t="n">
        <v>0.1667</v>
      </c>
      <c r="D76" s="8" t="n">
        <v>0.7966</v>
      </c>
    </row>
    <row r="77">
      <c r="A77" s="12" t="inlineStr">
        <is>
          <t>Misa Esports</t>
        </is>
      </c>
      <c r="B77" s="12" t="inlineStr">
        <is>
          <t>Pearl</t>
        </is>
      </c>
      <c r="C77" s="12" t="n">
        <v>0.44</v>
      </c>
      <c r="D77" s="12" t="n">
        <v>0.75</v>
      </c>
    </row>
    <row r="78">
      <c r="A78" s="8" t="inlineStr">
        <is>
          <t>Misa Esports</t>
        </is>
      </c>
      <c r="B78" s="8" t="inlineStr">
        <is>
          <t>Split</t>
        </is>
      </c>
      <c r="C78" s="8" t="n">
        <v>0.2857</v>
      </c>
      <c r="D78" s="8" t="n">
        <v>0.96</v>
      </c>
    </row>
    <row r="79">
      <c r="A79" s="12" t="inlineStr">
        <is>
          <t>S2G Esports</t>
        </is>
      </c>
      <c r="B79" s="12" t="inlineStr">
        <is>
          <t>Abyss</t>
        </is>
      </c>
      <c r="C79" s="12" t="n">
        <v>0.375</v>
      </c>
      <c r="D79" s="12" t="n">
        <v>0.7358</v>
      </c>
    </row>
    <row r="80">
      <c r="A80" s="8" t="inlineStr">
        <is>
          <t>S2G Esports</t>
        </is>
      </c>
      <c r="B80" s="8" t="inlineStr">
        <is>
          <t>Bind</t>
        </is>
      </c>
      <c r="C80" s="8" t="n">
        <v>0.1429</v>
      </c>
      <c r="D80" s="8" t="n">
        <v>0.8333</v>
      </c>
    </row>
    <row r="81">
      <c r="A81" s="12" t="inlineStr">
        <is>
          <t>S2G Esports</t>
        </is>
      </c>
      <c r="B81" s="12" t="inlineStr">
        <is>
          <t>Breeze</t>
        </is>
      </c>
      <c r="C81" s="12" t="n">
        <v>0.3265</v>
      </c>
      <c r="D81" s="12" t="n">
        <v>0.6957</v>
      </c>
    </row>
    <row r="82">
      <c r="A82" s="8" t="inlineStr">
        <is>
          <t>S2G Esports</t>
        </is>
      </c>
      <c r="B82" s="8" t="inlineStr">
        <is>
          <t>Corrode</t>
        </is>
      </c>
      <c r="C82" s="8" t="n">
        <v>0.3333</v>
      </c>
      <c r="D82" s="8" t="n">
        <v>0.7778</v>
      </c>
    </row>
    <row r="83">
      <c r="A83" s="12" t="inlineStr">
        <is>
          <t>S2G Esports</t>
        </is>
      </c>
      <c r="B83" s="12" t="inlineStr">
        <is>
          <t>Haven</t>
        </is>
      </c>
      <c r="C83" s="12" t="n">
        <v>0.2188</v>
      </c>
      <c r="D83" s="12" t="n">
        <v>0.75</v>
      </c>
    </row>
    <row r="84">
      <c r="A84" s="8" t="inlineStr">
        <is>
          <t>S2G Esports</t>
        </is>
      </c>
      <c r="B84" s="8" t="inlineStr">
        <is>
          <t>Pearl</t>
        </is>
      </c>
      <c r="C84" s="8" t="n">
        <v>0.3143</v>
      </c>
      <c r="D84" s="8" t="n">
        <v>0.6</v>
      </c>
    </row>
    <row r="85">
      <c r="A85" s="12" t="inlineStr">
        <is>
          <t>S2G Esports</t>
        </is>
      </c>
      <c r="B85" s="12" t="inlineStr">
        <is>
          <t>Split</t>
        </is>
      </c>
      <c r="C85" s="12" t="n">
        <v>0.2</v>
      </c>
      <c r="D85" s="12" t="n">
        <v>0.6052999999999999</v>
      </c>
    </row>
    <row r="86">
      <c r="A86" s="8" t="inlineStr">
        <is>
          <t>Stallions Esports</t>
        </is>
      </c>
      <c r="B86" s="8" t="inlineStr">
        <is>
          <t>Abyss</t>
        </is>
      </c>
      <c r="C86" s="8" t="n">
        <v>0.1765</v>
      </c>
      <c r="D86" s="8" t="n">
        <v>0.8605</v>
      </c>
    </row>
    <row r="87">
      <c r="A87" s="12" t="inlineStr">
        <is>
          <t>Stallions Esports</t>
        </is>
      </c>
      <c r="B87" s="12" t="inlineStr">
        <is>
          <t>Bind</t>
        </is>
      </c>
      <c r="C87" s="12" t="n">
        <v>0.1515</v>
      </c>
      <c r="D87" s="12" t="n">
        <v>0.7778</v>
      </c>
    </row>
    <row r="88">
      <c r="A88" s="8" t="inlineStr">
        <is>
          <t>Stallions Esports</t>
        </is>
      </c>
      <c r="B88" s="8" t="inlineStr">
        <is>
          <t>Breeze</t>
        </is>
      </c>
      <c r="C88" s="8" t="n">
        <v>0.2308</v>
      </c>
      <c r="D88" s="8" t="n">
        <v>0.75</v>
      </c>
    </row>
    <row r="89">
      <c r="A89" s="12" t="inlineStr">
        <is>
          <t>Stallions Esports</t>
        </is>
      </c>
      <c r="B89" s="12" t="inlineStr">
        <is>
          <t>Corrode</t>
        </is>
      </c>
      <c r="C89" s="12" t="n">
        <v>0.3529</v>
      </c>
      <c r="D89" s="12" t="n">
        <v>0.8163</v>
      </c>
    </row>
    <row r="90">
      <c r="A90" s="8" t="inlineStr">
        <is>
          <t>Stallions Esports</t>
        </is>
      </c>
      <c r="B90" s="8" t="inlineStr">
        <is>
          <t>Haven</t>
        </is>
      </c>
      <c r="C90" s="8" t="n">
        <v>0</v>
      </c>
      <c r="D90" s="8" t="n">
        <v>0</v>
      </c>
    </row>
    <row r="91">
      <c r="A91" s="12" t="inlineStr">
        <is>
          <t>Stallions Esports</t>
        </is>
      </c>
      <c r="B91" s="12" t="inlineStr">
        <is>
          <t>Pearl</t>
        </is>
      </c>
      <c r="C91" s="12" t="n">
        <v>0</v>
      </c>
      <c r="D91" s="12" t="n">
        <v>0</v>
      </c>
    </row>
    <row r="92">
      <c r="A92" s="8" t="inlineStr">
        <is>
          <t>Stallions Esports</t>
        </is>
      </c>
      <c r="B92" s="8" t="inlineStr">
        <is>
          <t>Split</t>
        </is>
      </c>
      <c r="C92" s="8" t="n">
        <v>0.2</v>
      </c>
      <c r="D92" s="8" t="n">
        <v>0.7222</v>
      </c>
    </row>
    <row r="93">
      <c r="A93" s="12" t="inlineStr">
        <is>
          <t>GnG Amazigh</t>
        </is>
      </c>
      <c r="B93" s="12" t="inlineStr">
        <is>
          <t>Abyss</t>
        </is>
      </c>
      <c r="C93" s="12" t="n">
        <v>0.3077</v>
      </c>
      <c r="D93" s="12" t="n">
        <v>0.4615</v>
      </c>
    </row>
    <row r="94">
      <c r="A94" s="8" t="inlineStr">
        <is>
          <t>GnG Amazigh</t>
        </is>
      </c>
      <c r="B94" s="8" t="inlineStr">
        <is>
          <t>Bind</t>
        </is>
      </c>
      <c r="C94" s="8" t="n">
        <v>0.3051</v>
      </c>
      <c r="D94" s="8" t="n">
        <v>0.7272999999999999</v>
      </c>
    </row>
    <row r="95">
      <c r="A95" s="12" t="inlineStr">
        <is>
          <t>GnG Amazigh</t>
        </is>
      </c>
      <c r="B95" s="12" t="inlineStr">
        <is>
          <t>Breeze</t>
        </is>
      </c>
      <c r="C95" s="12" t="n">
        <v>0</v>
      </c>
      <c r="D95" s="12" t="n">
        <v>0</v>
      </c>
    </row>
    <row r="96">
      <c r="A96" s="8" t="inlineStr">
        <is>
          <t>GnG Amazigh</t>
        </is>
      </c>
      <c r="B96" s="8" t="inlineStr">
        <is>
          <t>Corrode</t>
        </is>
      </c>
      <c r="C96" s="8" t="n">
        <v>0.383</v>
      </c>
      <c r="D96" s="8" t="n">
        <v>0.5600000000000001</v>
      </c>
    </row>
    <row r="97">
      <c r="A97" s="12" t="inlineStr">
        <is>
          <t>GnG Amazigh</t>
        </is>
      </c>
      <c r="B97" s="12" t="inlineStr">
        <is>
          <t>Haven</t>
        </is>
      </c>
      <c r="C97" s="12" t="n">
        <v>0.2449</v>
      </c>
      <c r="D97" s="12" t="n">
        <v>0.7843</v>
      </c>
    </row>
    <row r="98">
      <c r="A98" s="8" t="inlineStr">
        <is>
          <t>GnG Amazigh</t>
        </is>
      </c>
      <c r="B98" s="8" t="inlineStr">
        <is>
          <t>Pearl</t>
        </is>
      </c>
      <c r="C98" s="8" t="n">
        <v>0.2273</v>
      </c>
      <c r="D98" s="8" t="n">
        <v>0.8276</v>
      </c>
    </row>
    <row r="99">
      <c r="A99" s="12" t="inlineStr">
        <is>
          <t>GnG Amazigh</t>
        </is>
      </c>
      <c r="B99" s="12" t="inlineStr">
        <is>
          <t>Split</t>
        </is>
      </c>
      <c r="C99" s="12" t="n">
        <v>0.4286</v>
      </c>
      <c r="D99" s="12" t="n">
        <v>0.7407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2026-03-18T21:51:19Z</dcterms:created>
  <dcterms:modified xmlns:dcterms="http://purl.org/dc/terms/" xmlns:xsi="http://www.w3.org/2001/XMLSchema-instance" xsi:type="dcterms:W3CDTF">2026-03-18T21:51:20Z</dcterms:modified>
</cp:coreProperties>
</file>